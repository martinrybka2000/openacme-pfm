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__Projekty\02_PF_measurment\PCB\"/>
    </mc:Choice>
  </mc:AlternateContent>
  <xr:revisionPtr revIDLastSave="0" documentId="13_ncr:1_{16E46D58-6B1D-417B-93B1-505B4D0323DF}" xr6:coauthVersionLast="47" xr6:coauthVersionMax="47" xr10:uidLastSave="{00000000-0000-0000-0000-000000000000}"/>
  <bookViews>
    <workbookView xWindow="-120" yWindow="-120" windowWidth="38640" windowHeight="21240" activeTab="2" xr2:uid="{ED4F92D7-A6BE-418E-8AFE-CCEF53EAECA0}"/>
  </bookViews>
  <sheets>
    <sheet name="PFM" sheetId="1" r:id="rId1"/>
    <sheet name="New" sheetId="2" r:id="rId2"/>
    <sheet name="solder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2" l="1"/>
  <c r="D80" i="1"/>
</calcChain>
</file>

<file path=xl/sharedStrings.xml><?xml version="1.0" encoding="utf-8"?>
<sst xmlns="http://schemas.openxmlformats.org/spreadsheetml/2006/main" count="850" uniqueCount="325">
  <si>
    <t>Reference,</t>
  </si>
  <si>
    <t>Value</t>
  </si>
  <si>
    <t>MPN</t>
  </si>
  <si>
    <t>Footprint</t>
  </si>
  <si>
    <t>Datasheet</t>
  </si>
  <si>
    <t>Qty</t>
  </si>
  <si>
    <t>DNP</t>
  </si>
  <si>
    <t>Exclude from BOM</t>
  </si>
  <si>
    <t>Exclude from Board</t>
  </si>
  <si>
    <t>100n</t>
  </si>
  <si>
    <t>Capacitor_SMD:C_0603_1608Metric_Pad1.08x0.95mm_HandSolder</t>
  </si>
  <si>
    <t>~</t>
  </si>
  <si>
    <t>C6,</t>
  </si>
  <si>
    <t>4.7u</t>
  </si>
  <si>
    <t>Capacitor_SMD:C_1206_3216Metric_Pad1.33x1.80mm_HandSolder</t>
  </si>
  <si>
    <t>1u</t>
  </si>
  <si>
    <t>C13,C14,C15,</t>
  </si>
  <si>
    <t>1n, 2KV</t>
  </si>
  <si>
    <t>C16,</t>
  </si>
  <si>
    <t>22n</t>
  </si>
  <si>
    <t>Capacitor_SMD:C_0402_1005Metric_Pad0.74x0.62mm_HandSolder</t>
  </si>
  <si>
    <t>C17,</t>
  </si>
  <si>
    <t>4.7n, 2kV</t>
  </si>
  <si>
    <t>C18,C42,C43,C44,</t>
  </si>
  <si>
    <t>10p</t>
  </si>
  <si>
    <t>C19,</t>
  </si>
  <si>
    <t>10n</t>
  </si>
  <si>
    <t>C20,C25,</t>
  </si>
  <si>
    <t>C23,C26,</t>
  </si>
  <si>
    <t>C28,C30,C33,C34,</t>
  </si>
  <si>
    <t>1n</t>
  </si>
  <si>
    <t>kicad-embed://KGM_X7R-3223212[1].pdf,~</t>
  </si>
  <si>
    <t>2.2u</t>
  </si>
  <si>
    <t>C52,</t>
  </si>
  <si>
    <t>470p</t>
  </si>
  <si>
    <t>C53,C54,</t>
  </si>
  <si>
    <t>5n</t>
  </si>
  <si>
    <t>D1,</t>
  </si>
  <si>
    <t>LED_5V</t>
  </si>
  <si>
    <t>LED_SMD:LED_0805_2012Metric_Pad1.15x1.40mm_HandSolder</t>
  </si>
  <si>
    <t>D2,</t>
  </si>
  <si>
    <t>LED_RED</t>
  </si>
  <si>
    <t>D_TVS</t>
  </si>
  <si>
    <t>D5,</t>
  </si>
  <si>
    <t>LED_GR</t>
  </si>
  <si>
    <t>D6,</t>
  </si>
  <si>
    <t>LED_USB_PW</t>
  </si>
  <si>
    <t>D7,</t>
  </si>
  <si>
    <t>LED_3V3</t>
  </si>
  <si>
    <t>D8,</t>
  </si>
  <si>
    <t>LED_EFAULT</t>
  </si>
  <si>
    <t>D9,D10,</t>
  </si>
  <si>
    <t>ESDA5V3L</t>
  </si>
  <si>
    <t>Package_TO_SOT_SMD:SOT-23-3</t>
  </si>
  <si>
    <t>https://www.st.com/resource/en/datasheet/esdal.pdf</t>
  </si>
  <si>
    <t>FB1,FB2,</t>
  </si>
  <si>
    <t>IC1,</t>
  </si>
  <si>
    <t>LAN8740AI-EN-TR</t>
  </si>
  <si>
    <t>ETH_PHY:QFN50P500X500X100-33N-D</t>
  </si>
  <si>
    <t>https://datasheet.datasheetarchive.com/originals/distributors/DKDS-15/280025.pdf</t>
  </si>
  <si>
    <t>IC2,</t>
  </si>
  <si>
    <t>SN74LVC14APWRG3</t>
  </si>
  <si>
    <t>Schmitt:SOP65P640X120-14N</t>
  </si>
  <si>
    <t>http://www.ti.com/lit/gpn/sn74lvc14a</t>
  </si>
  <si>
    <t>J1,</t>
  </si>
  <si>
    <t>Boot</t>
  </si>
  <si>
    <t>Connector_JST:JST_XH_B3B-XH-AM_1x03_P2.50mm_Vertical</t>
  </si>
  <si>
    <t>J2,</t>
  </si>
  <si>
    <t>USB_OTG</t>
  </si>
  <si>
    <t>Connector_USB:USB_Micro-AB_Molex_47590-0001</t>
  </si>
  <si>
    <t>J3,</t>
  </si>
  <si>
    <t>GRID_term</t>
  </si>
  <si>
    <t>TerminalBlock:TerminalBlock_Altech_AK300-3_P5.00mm</t>
  </si>
  <si>
    <t>J4,</t>
  </si>
  <si>
    <t>5V_term</t>
  </si>
  <si>
    <t>J5,</t>
  </si>
  <si>
    <t>OUT_term</t>
  </si>
  <si>
    <t>J6,</t>
  </si>
  <si>
    <t>PROG_DEBUG</t>
  </si>
  <si>
    <t>Connector_PinHeader_2.54mm:PinHeader_1x03_P2.54mm_Vertical</t>
  </si>
  <si>
    <t>J7,</t>
  </si>
  <si>
    <t>RJHSE-5380</t>
  </si>
  <si>
    <t>https://cdn.amphenol-cs.com/media/wysiwyg/files/drawing/rjhsex380.pdf</t>
  </si>
  <si>
    <t>J8,</t>
  </si>
  <si>
    <t>UART_DEBUG</t>
  </si>
  <si>
    <t>J9,</t>
  </si>
  <si>
    <t>OLED_I2C</t>
  </si>
  <si>
    <t>Connector_JST:JST_XH_B4B-XH-AM_1x04_P2.50mm_Vertical</t>
  </si>
  <si>
    <t>J10,</t>
  </si>
  <si>
    <t>ADC_EXT_CONN</t>
  </si>
  <si>
    <t>J11,</t>
  </si>
  <si>
    <t>SPI_EXT</t>
  </si>
  <si>
    <t>Connector_JST:JST_XH_B5B-XH-AM_1x05_P2.50mm_Vertical</t>
  </si>
  <si>
    <t>J12,</t>
  </si>
  <si>
    <t>OUT_1</t>
  </si>
  <si>
    <t>J13,</t>
  </si>
  <si>
    <t>OUT_2</t>
  </si>
  <si>
    <t>J14,</t>
  </si>
  <si>
    <t>Butts_conn</t>
  </si>
  <si>
    <t>Connector_JST:JST_XH_B8B-XH-AM_1x08_P2.50mm_Vertical</t>
  </si>
  <si>
    <t>J15,</t>
  </si>
  <si>
    <t>Free_pins</t>
  </si>
  <si>
    <t>K1,K2,</t>
  </si>
  <si>
    <t>http://toshiba.semicon-storage.com/info/docget.jsp?did=60600&amp;prodName=TLP176AM</t>
  </si>
  <si>
    <t>Q1,</t>
  </si>
  <si>
    <t>Package_TO_SOT_SMD:SOT-23_Handsoldering</t>
  </si>
  <si>
    <t>https://www.onsemi.com/pub/Collateral/BC860-D.pdf</t>
  </si>
  <si>
    <t>R1,R2,</t>
  </si>
  <si>
    <t>Resistor_SMD:R_0402_1005Metric</t>
  </si>
  <si>
    <t>Excluded from BOM</t>
  </si>
  <si>
    <t>R3,R4,R5,R6,</t>
  </si>
  <si>
    <t>Resistor_SMD:R_0402_1005Metric_Pad0.72x0.64mm_HandSolder</t>
  </si>
  <si>
    <t>R7,</t>
  </si>
  <si>
    <t>1M</t>
  </si>
  <si>
    <t>49.9</t>
  </si>
  <si>
    <t>R11,R12,R14,R15,R21,</t>
  </si>
  <si>
    <t>715k</t>
  </si>
  <si>
    <t>Resistor_SMD:R_0805_2012Metric_Pad1.20x1.40mm_HandSolder</t>
  </si>
  <si>
    <t>10k</t>
  </si>
  <si>
    <t>Resistor_SMD:R_0603_1608Metric_Pad0.98x0.95mm_HandSolder</t>
  </si>
  <si>
    <t>R16,R17,</t>
  </si>
  <si>
    <t>R18,R24,R25,R35,</t>
  </si>
  <si>
    <t>47k</t>
  </si>
  <si>
    <t>R19,R36,</t>
  </si>
  <si>
    <t>1k</t>
  </si>
  <si>
    <t>R22,R23,</t>
  </si>
  <si>
    <t>R26,R29,R30,R32,R33,R34,</t>
  </si>
  <si>
    <t>R38,</t>
  </si>
  <si>
    <t>12.1k</t>
  </si>
  <si>
    <t>R39,R40,</t>
  </si>
  <si>
    <t>R42,R43,R44,R45,R46,R47,R48,R50,R51,R52,R53,R54,R55,R56,R57,R58,R59,</t>
  </si>
  <si>
    <t>1.5k</t>
  </si>
  <si>
    <t>R60,</t>
  </si>
  <si>
    <t>4.7k</t>
  </si>
  <si>
    <t>R62,R63,</t>
  </si>
  <si>
    <t>Resistor_SMD:R_01005_0402Metric</t>
  </si>
  <si>
    <t>RV1,RV2,RV3,</t>
  </si>
  <si>
    <t>Varistor</t>
  </si>
  <si>
    <t>R_SHUNT2,</t>
  </si>
  <si>
    <t>25m</t>
  </si>
  <si>
    <t>Resistor_SMD:R_2512_6332Metric</t>
  </si>
  <si>
    <t>SW1,</t>
  </si>
  <si>
    <t>RESET_SW</t>
  </si>
  <si>
    <t>http://www.apem.com/int/index.php?controller=attachment&amp;id_attachment=1371</t>
  </si>
  <si>
    <t>T1,</t>
  </si>
  <si>
    <t>ALANL100X1-DE12DT</t>
  </si>
  <si>
    <t>ETH_MAG:SOIC12_ALANL100X1_ABR</t>
  </si>
  <si>
    <t>U1,</t>
  </si>
  <si>
    <t>STM32H750VBTx</t>
  </si>
  <si>
    <t>Package_QFP:LQFP-100_14x14mm_P0.5mm</t>
  </si>
  <si>
    <t>https://www.st.com/resource/en/datasheet/stm32h750vb.pdf</t>
  </si>
  <si>
    <t>U2,</t>
  </si>
  <si>
    <t>DSC1001DI1-025.0000</t>
  </si>
  <si>
    <t>25MHz:CDFN4_2P5X2_MCH</t>
  </si>
  <si>
    <t>U3,</t>
  </si>
  <si>
    <t>AMC3306M25DWE</t>
  </si>
  <si>
    <t>AMC:DWE0016A-IPC_A</t>
  </si>
  <si>
    <t>U4,</t>
  </si>
  <si>
    <t>TPS259620DDAR</t>
  </si>
  <si>
    <t>TI_TPS:SOIC_20DDAR_TEX</t>
  </si>
  <si>
    <t>U5,</t>
  </si>
  <si>
    <t>AMC3336</t>
  </si>
  <si>
    <t>Package_SO:SOIC-16W_7.5x10.3mm_P1.27mm</t>
  </si>
  <si>
    <t>https://www.ti.com/lit/ds/symlink/amc3336.pdf</t>
  </si>
  <si>
    <t>U6,</t>
  </si>
  <si>
    <t>USBLC6-4SC6</t>
  </si>
  <si>
    <t>Package_TO_SOT_SMD:SOT-23-6</t>
  </si>
  <si>
    <t>https://www.st.com/resource/en/datasheet/usblc6-4.pdf</t>
  </si>
  <si>
    <t>U7,</t>
  </si>
  <si>
    <t>TLV1117-33</t>
  </si>
  <si>
    <t>Package_TO_SOT_SMD:SOT-223-3_TabPin2</t>
  </si>
  <si>
    <t>http://www.ti.com/lit/ds/symlink/tlv1117.pdf</t>
  </si>
  <si>
    <t>Price, PLN</t>
  </si>
  <si>
    <t>AMC3336DWER</t>
  </si>
  <si>
    <t>AMC3306M25DWER</t>
  </si>
  <si>
    <t>STM32H750VBT6</t>
  </si>
  <si>
    <t>710-691502710003</t>
  </si>
  <si>
    <t>279-TLRP3A30DR025FTE</t>
  </si>
  <si>
    <t>667-ERA-6AEB7153V</t>
  </si>
  <si>
    <t>,R20,R27,R28,R31,R41,R68,R69,R70,R71,R72,R73,</t>
  </si>
  <si>
    <t>R13</t>
  </si>
  <si>
    <t>10k, 0.1%</t>
  </si>
  <si>
    <t>667-ERA-3AEB103V</t>
  </si>
  <si>
    <t>595-TPS259620DDAR</t>
  </si>
  <si>
    <t>998-1001DI1-025.0000</t>
  </si>
  <si>
    <t>538-47590-0001</t>
  </si>
  <si>
    <t>511-USBLC6-4SC6Y</t>
  </si>
  <si>
    <t>595-TLV1117LV33DCYR</t>
  </si>
  <si>
    <t>815-ALANL100X1DE12DT</t>
  </si>
  <si>
    <t>579-LAN8740AI-EN-TR</t>
  </si>
  <si>
    <t>595-SN74LVC14APWRG3</t>
  </si>
  <si>
    <t>771-PESD36VS2UT215</t>
  </si>
  <si>
    <t>On Stan</t>
  </si>
  <si>
    <t>TerminalBlock:TerminalBlock_Altech_AK300-2_P5.00mm</t>
  </si>
  <si>
    <t>Connector_RJ:RJ45_HALO_HFJ11-x2450HRL_Horizontal</t>
  </si>
  <si>
    <t>Button_Switch_SMD:SW_DIP_SPSTx01_Slide_9.78x4.72mm_W8.61mm_P2.54mm</t>
  </si>
  <si>
    <t>R61, R49,</t>
  </si>
  <si>
    <t>R64,R65, R8,R9,R10,R37,</t>
  </si>
  <si>
    <t>Inductor_SMD:L_0603_1608Metric_Pad1.05x0.95mm_HandSolder</t>
  </si>
  <si>
    <t>1000Ohm</t>
  </si>
  <si>
    <t>SI3493DDV-T1-GE3</t>
  </si>
  <si>
    <t>PS2802-1-F3-A</t>
  </si>
  <si>
    <t>SOIC127P700X210-4N</t>
  </si>
  <si>
    <t>Capacitor_SMD:C_0805_2012Metric_Pad1.18x1.45mm_HandSolder</t>
  </si>
  <si>
    <t>R66,R74,R75,R76</t>
  </si>
  <si>
    <t>ERA-2AEB750X</t>
  </si>
  <si>
    <t>RCA060310R0FKEAHP</t>
  </si>
  <si>
    <t>RT0603FRE0712K1L</t>
  </si>
  <si>
    <t>RN73H1JTTD94R2F50</t>
  </si>
  <si>
    <t>RR0510P-101-D</t>
  </si>
  <si>
    <t>TBC05-03-1-G-G</t>
  </si>
  <si>
    <t>Connector:FanPinHeader_1x03_P2.54mm_Vertical</t>
  </si>
  <si>
    <t>MOVS4032V230</t>
  </si>
  <si>
    <t>C39,C49,C50, C41,</t>
  </si>
  <si>
    <t>,C22</t>
  </si>
  <si>
    <t>22u</t>
  </si>
  <si>
    <r>
      <rPr>
        <b/>
        <sz val="11"/>
        <color theme="1"/>
        <rFont val="Aptos Narrow"/>
        <family val="2"/>
        <scheme val="minor"/>
      </rPr>
      <t>C29</t>
    </r>
    <r>
      <rPr>
        <sz val="11"/>
        <color theme="1"/>
        <rFont val="Aptos Narrow"/>
        <family val="2"/>
        <charset val="238"/>
        <scheme val="minor"/>
      </rPr>
      <t>,</t>
    </r>
    <r>
      <rPr>
        <b/>
        <sz val="11"/>
        <color theme="1"/>
        <rFont val="Aptos Narrow"/>
        <family val="2"/>
        <scheme val="minor"/>
      </rPr>
      <t>C31</t>
    </r>
    <r>
      <rPr>
        <sz val="11"/>
        <color theme="1"/>
        <rFont val="Aptos Narrow"/>
        <family val="2"/>
        <charset val="238"/>
        <scheme val="minor"/>
      </rPr>
      <t>,</t>
    </r>
    <r>
      <rPr>
        <b/>
        <sz val="11"/>
        <color theme="1"/>
        <rFont val="Aptos Narrow"/>
        <family val="2"/>
        <scheme val="minor"/>
      </rPr>
      <t>C32</t>
    </r>
    <r>
      <rPr>
        <sz val="11"/>
        <color theme="1"/>
        <rFont val="Aptos Narrow"/>
        <family val="2"/>
        <charset val="238"/>
        <scheme val="minor"/>
      </rPr>
      <t>,</t>
    </r>
  </si>
  <si>
    <r>
      <t>C8,C21,</t>
    </r>
    <r>
      <rPr>
        <b/>
        <sz val="11"/>
        <color theme="1"/>
        <rFont val="Aptos Narrow"/>
        <family val="2"/>
        <scheme val="minor"/>
      </rPr>
      <t>C35,C37</t>
    </r>
    <r>
      <rPr>
        <sz val="11"/>
        <color theme="1"/>
        <rFont val="Aptos Narrow"/>
        <family val="2"/>
        <charset val="238"/>
        <scheme val="minor"/>
      </rPr>
      <t>,C40,,C51,</t>
    </r>
  </si>
  <si>
    <t>,D4,</t>
  </si>
  <si>
    <t>D3</t>
  </si>
  <si>
    <t xml:space="preserve">
ESD203B102ELE6327XTMA1</t>
  </si>
  <si>
    <t>GG040205100N2P</t>
  </si>
  <si>
    <t>Diode_SMD:D_0603_1608Metric_Pad1.05x0.95mm_HandSolder</t>
  </si>
  <si>
    <t>Diode_SMD:D_0402_1005Metric_Pad0.77x0.64mm_HandSolder</t>
  </si>
  <si>
    <t>Resistor_SMD:R_4020_10251Metric_Pad1.65x5.30mm_HandSolder</t>
  </si>
  <si>
    <t>RC2512JK-071ML</t>
  </si>
  <si>
    <t>Resistor_SMD:R_2512_6332Metric_Pad1.40x3.35mm_HandSolder</t>
  </si>
  <si>
    <t>1210B472K202CT</t>
  </si>
  <si>
    <t>Capacitor_SMD:C_1210_3225Metric_Pad1.33x2.70mm_HandSolder</t>
  </si>
  <si>
    <t>Capacitor_SMD:C_0805_2012Metric</t>
  </si>
  <si>
    <t>08051C502KAT2A</t>
  </si>
  <si>
    <t>KGM05ACG1H471JN</t>
  </si>
  <si>
    <t>CL31A226MOCLNNC</t>
  </si>
  <si>
    <t>C1,C2,C3,C4,C5,C7,C9,C10,C11,C12,C45,C46,C47,C48,C55,C56,C57,C58,C59,C60,C61,</t>
  </si>
  <si>
    <t>C24,C27,C36,C38,</t>
  </si>
  <si>
    <t>C0603C104K5RACAUTO</t>
  </si>
  <si>
    <t>12063C105KAT2A</t>
  </si>
  <si>
    <t>06035C103JAT2A</t>
  </si>
  <si>
    <t>C3216NP01H104J160AA</t>
  </si>
  <si>
    <t>12065C102KAT2A</t>
  </si>
  <si>
    <t>C0603C102K5RACTU</t>
  </si>
  <si>
    <t>Ref</t>
  </si>
  <si>
    <t>Qnty</t>
  </si>
  <si>
    <t>Description</t>
  </si>
  <si>
    <t>Unpolarized capacitor, small symbol</t>
  </si>
  <si>
    <t>Polarized capacitor, small symbol</t>
  </si>
  <si>
    <t>C13, C14,</t>
  </si>
  <si>
    <t>C18, C42, C43, C44,</t>
  </si>
  <si>
    <t>C20, C25,</t>
  </si>
  <si>
    <t>C22,</t>
  </si>
  <si>
    <t>Unpolarized capacitor</t>
  </si>
  <si>
    <t>C23, C26,</t>
  </si>
  <si>
    <t>C28, C30, C33, C34,</t>
  </si>
  <si>
    <t>C29, C31, C32,</t>
  </si>
  <si>
    <t>C39, C41, C49, C50,</t>
  </si>
  <si>
    <t>C45, C46, C48,</t>
  </si>
  <si>
    <t>Capacitor_SMD:C_0402_1005Metric</t>
  </si>
  <si>
    <t>C53, C54,</t>
  </si>
  <si>
    <t>Light emitting diode</t>
  </si>
  <si>
    <t>D3,</t>
  </si>
  <si>
    <t>Bidirectional transient-voltage-suppression diode</t>
  </si>
  <si>
    <t>D4,</t>
  </si>
  <si>
    <t>D9, D10,</t>
  </si>
  <si>
    <t>TVS Diode Array, 5.5V Standoff, 2 Channels, SOT23</t>
  </si>
  <si>
    <t>FB1, FB2,</t>
  </si>
  <si>
    <t>Ferrite bead, small symbol</t>
  </si>
  <si>
    <t>Ethernet ICs Small Footprint MII/RMII 10/100 Energy Efficient Ethernet Transceiver</t>
  </si>
  <si>
    <t>Hex Schmitt-Trigger Inverter</t>
  </si>
  <si>
    <t>IC3, IC4,</t>
  </si>
  <si>
    <t>PS_opto:SOIC127P700X210-4N</t>
  </si>
  <si>
    <t>The PS2802-1 and PS2802-4 are optically coupled isolators containing a GaAs light emitting diode and an NPN silicon darlington-connected photo transistor in a plastic SSOP for high density applications. This package has shield effect to cut off ambient light.</t>
  </si>
  <si>
    <t>Generic connector, single row, 01x03, script generated (kicad-library-utils/schlib/autogen/connector/)</t>
  </si>
  <si>
    <t>USB mini/micro connector</t>
  </si>
  <si>
    <t>Generic screw terminal, single row, 01x03, script generated (kicad-library-utils/schlib/autogen/connector/)</t>
  </si>
  <si>
    <t>Generic screw terminal, single row, 01x02, script generated (kicad-library-utils/schlib/autogen/connector/)</t>
  </si>
  <si>
    <t>Jack Modular Connector 8p8c (RJ45, Ethernet) 90 Angle (Right) Shielded, EMI Finger , 125VAC , 1.5A , -55C ~ 85C</t>
  </si>
  <si>
    <t>Generic connector, single row, 01x04, script generated (kicad-library-utils/schlib/autogen/connector/)</t>
  </si>
  <si>
    <t>Generic connector, single row, 01x05, script generated (kicad-library-utils/schlib/autogen/connector/)</t>
  </si>
  <si>
    <t>Generic connector, single row, 01x08, script generated (kicad-library-utils/schlib/autogen/connector/)</t>
  </si>
  <si>
    <t>J17,</t>
  </si>
  <si>
    <t>Q2,</t>
  </si>
  <si>
    <t>SI3493DDV-T1-GE3:SOT95P284X110-6N</t>
  </si>
  <si>
    <t>MOSFET -20V Vds 8V Vgs TSOP-6</t>
  </si>
  <si>
    <t>R3, R4, R5, R6,</t>
  </si>
  <si>
    <t>Resistor, small symbol</t>
  </si>
  <si>
    <t>R8, R9, R10, R37, R64, R65,</t>
  </si>
  <si>
    <t>Resistor</t>
  </si>
  <si>
    <t>R11, R12, R14, R15, R21,</t>
  </si>
  <si>
    <t>R13,</t>
  </si>
  <si>
    <t>R16, R17,</t>
  </si>
  <si>
    <t>R18, R24, R25, R35,</t>
  </si>
  <si>
    <t>R19, R36,</t>
  </si>
  <si>
    <t>R20, R27, R28, R31, R41, R69, R70, R71, R72, R73, R80,</t>
  </si>
  <si>
    <t>R22, R23,</t>
  </si>
  <si>
    <t>R26, R29, R30, R32, R33, R34,</t>
  </si>
  <si>
    <t>R39, R40,</t>
  </si>
  <si>
    <t>R42, R43, R44, R45, R46, R47, R48, R56, R57, R58, R59,</t>
  </si>
  <si>
    <t>R49, R61,</t>
  </si>
  <si>
    <t>R50, R51, R52, R53, R54, R55,</t>
  </si>
  <si>
    <t>R67, R74, R75, R76,</t>
  </si>
  <si>
    <t>RESET1,</t>
  </si>
  <si>
    <t>Push button switch, generic, two pins</t>
  </si>
  <si>
    <t>RV1, RV2, RV3,</t>
  </si>
  <si>
    <t>Voltage dependent resistor</t>
  </si>
  <si>
    <t>C1, C2, C3, C4, C5, C7, C9, C10, C11, C12, , C47, C55, C56, C57, C58, C59, C60, C61,</t>
  </si>
  <si>
    <t>C24, C27, C36, C38</t>
  </si>
  <si>
    <t>CL05C220JB51PNC</t>
  </si>
  <si>
    <t>CGA3E1X7R1E105K080AC</t>
  </si>
  <si>
    <t>ESD203B102ELE6327XTMA1</t>
  </si>
  <si>
    <t>MCS04020C1501FE000</t>
  </si>
  <si>
    <t>MCS04020C4701FE000</t>
  </si>
  <si>
    <t>RT0402DRE0756RL</t>
  </si>
  <si>
    <t>GRM155R61A104KA01J</t>
  </si>
  <si>
    <t>analog switch</t>
  </si>
  <si>
    <t>SN74LVC2G66DCUR</t>
  </si>
  <si>
    <t>2zl</t>
  </si>
  <si>
    <t>AC0402KRX7R9BB223</t>
  </si>
  <si>
    <t>C0603C102K5RAC7411</t>
  </si>
  <si>
    <t>R8, R9, R10, R37</t>
  </si>
  <si>
    <t>R49,</t>
  </si>
  <si>
    <t>R31, R41</t>
  </si>
  <si>
    <t xml:space="preserve"> C41, C49, C50,</t>
  </si>
  <si>
    <t xml:space="preserve">C1, C2,  C4, C5, C7, C9, C10, C12 , C47, </t>
  </si>
  <si>
    <t xml:space="preserve">  C51,</t>
  </si>
  <si>
    <t>C21, C35, C37, C40, C51,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</si>
</sst>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zł-415]_-;\-* #,##0.00\ [$zł-415]_-;_-* &quot;-&quot;??\ [$zł-415]_-;_-@_-"/>
  </numFmts>
  <fonts count="2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rgb="FF000000"/>
      <name val="Calibri"/>
      <family val="2"/>
    </font>
    <font>
      <u/>
      <sz val="11"/>
      <color rgb="FF467886"/>
      <name val="Calibri"/>
      <family val="2"/>
    </font>
    <font>
      <u/>
      <sz val="10"/>
      <color rgb="FF467886"/>
      <name val="Liberation Serif"/>
      <family val="1"/>
    </font>
    <font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42" applyFont="1" applyFill="1" applyBorder="1" applyAlignment="1" applyProtection="1">
      <alignment horizontal="center"/>
    </xf>
    <xf numFmtId="0" fontId="21" fillId="0" borderId="11" xfId="42" applyFont="1" applyFill="1" applyBorder="1" applyAlignment="1" applyProtection="1">
      <alignment horizontal="center"/>
    </xf>
    <xf numFmtId="0" fontId="21" fillId="0" borderId="10" xfId="42" applyFont="1" applyFill="1" applyBorder="1" applyAlignment="1" applyProtection="1">
      <alignment horizontal="center" vertical="center"/>
    </xf>
    <xf numFmtId="0" fontId="22" fillId="0" borderId="10" xfId="42" applyFont="1" applyFill="1" applyBorder="1" applyAlignment="1" applyProtection="1">
      <alignment horizontal="center" vertical="center"/>
    </xf>
    <xf numFmtId="0" fontId="19" fillId="0" borderId="10" xfId="42" applyFill="1" applyBorder="1" applyAlignment="1" applyProtection="1">
      <alignment horizontal="center" vertical="center"/>
    </xf>
    <xf numFmtId="0" fontId="19" fillId="0" borderId="0" xfId="42" applyAlignment="1">
      <alignment horizontal="center" vertical="center"/>
    </xf>
    <xf numFmtId="164" fontId="18" fillId="0" borderId="0" xfId="0" applyNumberFormat="1" applyFont="1" applyAlignment="1">
      <alignment horizontal="center"/>
    </xf>
    <xf numFmtId="0" fontId="19" fillId="0" borderId="0" xfId="42" applyAlignment="1">
      <alignment horizontal="left" vertical="center" wrapText="1" indent="1"/>
    </xf>
    <xf numFmtId="0" fontId="23" fillId="0" borderId="0" xfId="0" applyFont="1" applyAlignment="1">
      <alignment horizontal="center" vertical="center" wrapText="1"/>
    </xf>
    <xf numFmtId="0" fontId="19" fillId="0" borderId="0" xfId="42" applyAlignment="1">
      <alignment horizontal="center" vertical="center" wrapText="1"/>
    </xf>
    <xf numFmtId="0" fontId="19" fillId="0" borderId="0" xfId="42" applyAlignment="1">
      <alignment horizontal="center"/>
    </xf>
    <xf numFmtId="0" fontId="0" fillId="0" borderId="0" xfId="0" applyAlignment="1">
      <alignment vertical="center"/>
    </xf>
    <xf numFmtId="164" fontId="0" fillId="33" borderId="0" xfId="0" applyNumberFormat="1" applyFill="1" applyAlignment="1">
      <alignment vertical="center"/>
    </xf>
    <xf numFmtId="164" fontId="18" fillId="34" borderId="0" xfId="0" applyNumberFormat="1" applyFont="1" applyFill="1" applyAlignment="1">
      <alignment horizontal="center" vertical="center"/>
    </xf>
    <xf numFmtId="164" fontId="0" fillId="35" borderId="0" xfId="0" applyNumberFormat="1" applyFill="1" applyAlignment="1">
      <alignment horizontal="center" vertical="center"/>
    </xf>
    <xf numFmtId="164" fontId="0" fillId="35" borderId="0" xfId="0" applyNumberFormat="1" applyFill="1" applyAlignment="1">
      <alignment vertical="center"/>
    </xf>
    <xf numFmtId="0" fontId="0" fillId="35" borderId="0" xfId="0" applyFill="1" applyAlignment="1">
      <alignment horizontal="center" vertical="center"/>
    </xf>
    <xf numFmtId="0" fontId="6" fillId="2" borderId="0" xfId="6" applyAlignment="1">
      <alignment horizontal="center" vertical="center" wrapText="1"/>
    </xf>
    <xf numFmtId="0" fontId="8" fillId="4" borderId="0" xfId="8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_-* #,##0.00\ [$zł-415]_-;\-* #,##0.00\ [$zł-415]_-;_-* &quot;-&quot;??\ [$zł-415]_-;_-@_-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457200</xdr:colOff>
      <xdr:row>1</xdr:row>
      <xdr:rowOff>238126</xdr:rowOff>
    </xdr:from>
    <xdr:to>
      <xdr:col>24</xdr:col>
      <xdr:colOff>598421</xdr:colOff>
      <xdr:row>22</xdr:row>
      <xdr:rowOff>163208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390FB74-3E70-D753-A432-090AC23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45075" y="428626"/>
          <a:ext cx="8675621" cy="4497082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238125</xdr:colOff>
      <xdr:row>24</xdr:row>
      <xdr:rowOff>107614</xdr:rowOff>
    </xdr:from>
    <xdr:to>
      <xdr:col>27</xdr:col>
      <xdr:colOff>493646</xdr:colOff>
      <xdr:row>46</xdr:row>
      <xdr:rowOff>113646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57E765C-9DDD-7776-CBA8-03016A9D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00" y="5251114"/>
          <a:ext cx="10618721" cy="41970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6E02C-CEDB-4110-A3A6-E14B68EB0CDA}" name="Tabela1" displayName="Tabela1" ref="A1:J77" totalsRowShown="0" headerRowDxfId="23" dataDxfId="22">
  <autoFilter ref="A1:J77" xr:uid="{FF06E02C-CEDB-4110-A3A6-E14B68EB0CDA}"/>
  <tableColumns count="10">
    <tableColumn id="1" xr3:uid="{4E84F4DE-100E-43AA-930E-ECF9192868F5}" name="Reference," dataDxfId="21"/>
    <tableColumn id="2" xr3:uid="{FB59F92F-C655-4351-BB27-4D908C471D65}" name="Value" dataDxfId="20"/>
    <tableColumn id="3" xr3:uid="{F26F01F1-E318-4D05-A955-0065CAFECD59}" name="MPN" dataDxfId="19"/>
    <tableColumn id="10" xr3:uid="{81DDB7F7-6C0E-4A2D-BE10-F9DB27ED8875}" name="Price, PLN" dataDxfId="18"/>
    <tableColumn id="4" xr3:uid="{5F79D41E-8904-4511-A74E-1BAA4D740DE5}" name="Footprint" dataDxfId="17"/>
    <tableColumn id="5" xr3:uid="{AA2305F6-709C-4ADE-91C9-3C5ED23556CB}" name="Datasheet" dataDxfId="16"/>
    <tableColumn id="6" xr3:uid="{5DDC6D4E-B3AF-4EE4-9661-0B9617A5CE95}" name="Qty" dataDxfId="15"/>
    <tableColumn id="7" xr3:uid="{D16A67ED-FF4C-4850-A121-F8B574B44659}" name="DNP" dataDxfId="14"/>
    <tableColumn id="8" xr3:uid="{83F4B59F-BCF1-445C-9EEE-A2D0BEA27111}" name="Exclude from BOM" dataDxfId="13"/>
    <tableColumn id="9" xr3:uid="{7BBB4985-264C-4600-B612-822CFA3F72E6}" name="Exclude from Board" dataDxfId="1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703EDD-D033-440A-BDBC-1D25BED2A69D}" name="Tabela3" displayName="Tabela3" ref="A2:G78" totalsRowShown="0" headerRowDxfId="11" dataDxfId="10">
  <autoFilter ref="A2:G78" xr:uid="{F5703EDD-D033-440A-BDBC-1D25BED2A69D}"/>
  <tableColumns count="7">
    <tableColumn id="1" xr3:uid="{E639BDCE-4E34-4F86-9C53-3D0FE248E9F8}" name="Ref" dataDxfId="9"/>
    <tableColumn id="2" xr3:uid="{DE2E915B-F9CD-43AD-A523-973FF6F0EC40}" name="Qnty" dataDxfId="8"/>
    <tableColumn id="3" xr3:uid="{A6751A2E-AFE0-4F57-B64A-E6C9003D1362}" name="Value" dataDxfId="7"/>
    <tableColumn id="7" xr3:uid="{4084721A-36A6-4094-B554-275E82544FB3}" name="MPN" dataDxfId="6"/>
    <tableColumn id="4" xr3:uid="{7C2502D9-FFAC-4595-BEAE-0C99C09A3944}" name="Price, PLN" dataDxfId="5"/>
    <tableColumn id="5" xr3:uid="{71CB581A-5C46-41BB-A1BA-E329D79B0074}" name="Footprint" dataDxfId="4"/>
    <tableColumn id="6" xr3:uid="{10AD69A9-4C6E-4F82-A82E-9B319EAB5310}" name="Description" dataDxfId="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EDCD0B-30AF-48B7-959A-05438C851B28}" name="Tabela33" displayName="Tabela33" ref="C2:I22" totalsRowShown="0" headerRowDxfId="32" dataDxfId="31">
  <autoFilter ref="C2:I22" xr:uid="{9BEDCD0B-30AF-48B7-959A-05438C851B28}"/>
  <tableColumns count="7">
    <tableColumn id="1" xr3:uid="{82568C78-1921-4246-BB12-962F042CEED3}" name="Ref" dataDxfId="30" dataCellStyle="Normalny"/>
    <tableColumn id="2" xr3:uid="{B6450273-80BF-4EC0-8BA8-675426131DBB}" name="Qnty" dataDxfId="29"/>
    <tableColumn id="3" xr3:uid="{64DF17FC-3C8B-4B05-8561-DFDC46F47AA9}" name="Value" dataDxfId="28"/>
    <tableColumn id="7" xr3:uid="{5BC9DDB4-818C-4D53-BC99-2325616AE49F}" name="MPN" dataDxfId="27"/>
    <tableColumn id="4" xr3:uid="{22E5849A-72EB-4975-81C6-B1B9917018B8}" name="Price, PLN" dataDxfId="26"/>
    <tableColumn id="5" xr3:uid="{98F8005B-65B0-4D16-AB28-D600E0B1F438}" name="Footprint" dataDxfId="25"/>
    <tableColumn id="6" xr3:uid="{7BBA3F21-FD97-46E4-AB38-2C5C82DA7D96}" name="Description" dataDxfId="24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pl/ProductDetail/Texas-Instruments/TLV1117LV33DCYR?qs=tEz3BkPb1rwzXMb8FiWhow%3D%3D" TargetMode="External"/><Relationship Id="rId18" Type="http://schemas.openxmlformats.org/officeDocument/2006/relationships/hyperlink" Target="https://www.mouser.pl/ProductDetail/Panasonic/ERA-2AEB750X?qs=sGAEpiMZZMtlubZbdhIBILRDuhBknqQk92rJ9C9nRy0%3D" TargetMode="External"/><Relationship Id="rId26" Type="http://schemas.openxmlformats.org/officeDocument/2006/relationships/hyperlink" Target="https://www.mouser.pl/ProductDetail/KYOCERA-AVX/GG040205100N2P?qs=AQlKX63v8RtEzxtu3m0x3g%3D%3D" TargetMode="External"/><Relationship Id="rId39" Type="http://schemas.openxmlformats.org/officeDocument/2006/relationships/hyperlink" Target="https://www.mouser.pl/ProductDetail/TDK/CGA3E1X7R1E105K080AC?qs=NRhsANhppD9VxGl2AsmRpw%3D%3D" TargetMode="External"/><Relationship Id="rId21" Type="http://schemas.openxmlformats.org/officeDocument/2006/relationships/hyperlink" Target="https://www.mouser.pl/ProductDetail/KOA-Speer/RN73H1JTTD94R2F50?qs=pJKkPLTLvBgHgE4xusW2QQ%3D%3D" TargetMode="External"/><Relationship Id="rId34" Type="http://schemas.openxmlformats.org/officeDocument/2006/relationships/hyperlink" Target="https://www.mouser.pl/ProductDetail/Samsung-Electro-Mechanics/CL31A226MOCLNNC?qs=sGAEpiMZZMvsSlwiRhF8qvCY8MbTG5UFZeIte4Q5eTU%3D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s://www.mouser.pl/ProductDetail/Panasonic/ERA-6AEB7153V?qs=sGAEpiMZZMvdGkrng054txAO1F77ZlZQmxHP4Kd%2FCCY%3D" TargetMode="External"/><Relationship Id="rId2" Type="http://schemas.openxmlformats.org/officeDocument/2006/relationships/hyperlink" Target="https://www.mouser.pl/ProductDetail/Texas-Instruments/AMC3306M25DWER?qs=sGAEpiMZZMutXGli8Ay4kHv45Zn99GEvwopVWZ%252BHH%2FQ%3D" TargetMode="External"/><Relationship Id="rId16" Type="http://schemas.openxmlformats.org/officeDocument/2006/relationships/hyperlink" Target="https://www.mouser.pl/ProductDetail/Texas-Instruments/SN74LVC14APWRG3?qs=sGAEpiMZZMuyBeSSR239IRGMQ%2FmyR%252BkFp%2FeMm8qJM3U%3D" TargetMode="External"/><Relationship Id="rId20" Type="http://schemas.openxmlformats.org/officeDocument/2006/relationships/hyperlink" Target="https://www.mouser.pl/ProductDetail/YAGEO/RT0603FRE0712K1L?qs=sGAEpiMZZMtlubZbdhIBILjYW2Gkblj8tpC0PfbogpM%3D" TargetMode="External"/><Relationship Id="rId29" Type="http://schemas.openxmlformats.org/officeDocument/2006/relationships/hyperlink" Target="https://www.mouser.pl/ProductDetail/Wurth-Elektronik/885342208024?qs=sGAEpiMZZMsh%252B1woXyUXj1PVPNxBwqheBcTc3A%252Bo7bk%3D" TargetMode="External"/><Relationship Id="rId41" Type="http://schemas.openxmlformats.org/officeDocument/2006/relationships/hyperlink" Target="https://www.mouser.pl/ProductDetail/KEMET/C0603C102K5RACTU?qs=XGjIaNSbuEs37lO8KrbNPg%3D%3D" TargetMode="External"/><Relationship Id="rId1" Type="http://schemas.openxmlformats.org/officeDocument/2006/relationships/hyperlink" Target="https://www.mouser.pl/ProductDetail/Texas-Instruments/AMC3336DWER?qs=TuK3vfAjtkUFYNEetxZbpg%3D%3D" TargetMode="External"/><Relationship Id="rId6" Type="http://schemas.openxmlformats.org/officeDocument/2006/relationships/hyperlink" Target="https://www.mouser.pl/ProductDetail/TE-Connectivity-Holsworthy/TLRP3A30DR025FTE?qs=QNEnbhJQKvb0BhRgpXxfzA%3D%3D" TargetMode="External"/><Relationship Id="rId11" Type="http://schemas.openxmlformats.org/officeDocument/2006/relationships/hyperlink" Target="https://www.mouser.pl/ProductDetail/Molex/47590-0001?qs=B2dI1vFk2x%252BDCUfk3sC4bA%3D%3D" TargetMode="External"/><Relationship Id="rId24" Type="http://schemas.openxmlformats.org/officeDocument/2006/relationships/hyperlink" Target="https://www.mouser.pl/ProductDetail/Eaton-Electronics/MOVS4032V230?qs=CiayqK2gdcIfc2V9FwqqWg%3D%3D" TargetMode="External"/><Relationship Id="rId32" Type="http://schemas.openxmlformats.org/officeDocument/2006/relationships/hyperlink" Target="https://www.mouser.pl/ProductDetail/Wurth-Elektronik/885392005106?qs=sGAEpiMZZMvsSlwiRhF8qrQG6leidpLjlU%252BxVbSgPOKqvB9NgTk9xw%3D%3D" TargetMode="External"/><Relationship Id="rId37" Type="http://schemas.openxmlformats.org/officeDocument/2006/relationships/hyperlink" Target="https://www.mouser.pl/ProductDetail/KYOCERA-AVX/06035C103JAT2A?qs=sGAEpiMZZMvsSlwiRhF8qoLJPdUUh17qmeH3U4sbMiE%3D" TargetMode="External"/><Relationship Id="rId40" Type="http://schemas.openxmlformats.org/officeDocument/2006/relationships/hyperlink" Target="https://www.mouser.pl/ProductDetail/KYOCERA-AVX/12065C102KAT2A?qs=2q%252BWEwtIaala95xflKOUww%3D%3D" TargetMode="External"/><Relationship Id="rId5" Type="http://schemas.openxmlformats.org/officeDocument/2006/relationships/hyperlink" Target="https://www.mouser.pl/ProductDetail/Wurth-Elektronik/691502710003?qs=3RJ0PdSuLVkj2fkNlWx2NA%3D%3D" TargetMode="External"/><Relationship Id="rId15" Type="http://schemas.openxmlformats.org/officeDocument/2006/relationships/hyperlink" Target="https://www.mouser.pl/ProductDetail/Microchip-Technology/LAN8740AI-EN-TR?qs=6qKXPk0vzx1pdBrIaNrUbA%3D%3D" TargetMode="External"/><Relationship Id="rId23" Type="http://schemas.openxmlformats.org/officeDocument/2006/relationships/hyperlink" Target="https://www.mouser.pl/ProductDetail/GCT/TBC05-03-1-G-G?qs=sGAEpiMZZMvPvGwLNS671%252B7aWYNAXBhX8MwbRir2ZMNiRgmezEZr7A%3D%3D" TargetMode="External"/><Relationship Id="rId28" Type="http://schemas.openxmlformats.org/officeDocument/2006/relationships/hyperlink" Target="https://www.mouser.pl/ProductDetail/Walsin/1210B472K202CT?qs=sGAEpiMZZMsh%252B1woXyUXj6GIMbU2VNPkf3dLcNMbONc%3D" TargetMode="External"/><Relationship Id="rId36" Type="http://schemas.openxmlformats.org/officeDocument/2006/relationships/hyperlink" Target="https://www.mouser.pl/ProductDetail/KYOCERA-AVX/12063C105KAT2A?qs=v27vNPZSEuYOHibjub0%2F2A%3D%3D" TargetMode="External"/><Relationship Id="rId10" Type="http://schemas.openxmlformats.org/officeDocument/2006/relationships/hyperlink" Target="https://www.mouser.pl/ProductDetail/Microchip-Technology/DSC1001DI1-025.0000?qs=moDRE%2FDosU0aQZ7kAZYZlg%3D%3D" TargetMode="External"/><Relationship Id="rId19" Type="http://schemas.openxmlformats.org/officeDocument/2006/relationships/hyperlink" Target="https://www.mouser.pl/ProductDetail/Vishay-Draloric/RCA060310R0FKEAHP?qs=sGAEpiMZZMtlubZbdhIBIEx98%2FREtpevxNw3vfFrfJI%3D" TargetMode="External"/><Relationship Id="rId31" Type="http://schemas.openxmlformats.org/officeDocument/2006/relationships/hyperlink" Target="https://www.mouser.pl/ProductDetail/KYOCERA-AVX/KGM05ACG1H471JN?qs=sGAEpiMZZMvsSlwiRhF8qrQG6leidpLj7%2F02XXwLj9ToxjnjGSC8lw%3D%3D" TargetMode="External"/><Relationship Id="rId4" Type="http://schemas.openxmlformats.org/officeDocument/2006/relationships/hyperlink" Target="https://www.mouser.pl/ProductDetail/Wurth-Elektronik/691502710003?qs=3RJ0PdSuLVkj2fkNlWx2NA%3D%3D" TargetMode="External"/><Relationship Id="rId9" Type="http://schemas.openxmlformats.org/officeDocument/2006/relationships/hyperlink" Target="https://www.mouser.pl/ProductDetail/Texas-Instruments/TPS259620DDAR?qs=XeJtXLiO41RogCpRV1l%252BSg%3D%3D" TargetMode="External"/><Relationship Id="rId14" Type="http://schemas.openxmlformats.org/officeDocument/2006/relationships/hyperlink" Target="https://www.mouser.pl/ProductDetail/ABRACON/ALANL100X1-DE12DT?qs=BJlw7L4Cy79emB2iS%2FU5sA%3D%3D" TargetMode="External"/><Relationship Id="rId22" Type="http://schemas.openxmlformats.org/officeDocument/2006/relationships/hyperlink" Target="https://www.mouser.pl/ProductDetail/Susumu/RR0510P-101-D?qs=sGAEpiMZZMtlubZbdhIBIHPiT0YkkodQvbyWB4riPVA%3D" TargetMode="External"/><Relationship Id="rId27" Type="http://schemas.openxmlformats.org/officeDocument/2006/relationships/hyperlink" Target="https://www.mouser.pl/ProductDetail/YAGEO/RC2512JK-071ML?qs=sGAEpiMZZMtlubZbdhIBIIe0KCL5sPzhsvStfdyCaC8%3D" TargetMode="External"/><Relationship Id="rId30" Type="http://schemas.openxmlformats.org/officeDocument/2006/relationships/hyperlink" Target="https://www.mouser.pl/ProductDetail/KYOCERA-AVX/08051C502KAT2A?qs=sGAEpiMZZMuMW9TJLBQkXptgvjthM9qCnJGqwFGyIyQ%3D" TargetMode="External"/><Relationship Id="rId35" Type="http://schemas.openxmlformats.org/officeDocument/2006/relationships/hyperlink" Target="https://www.mouser.pl/ProductDetail/KEMET/C0603C104K5RACAUTO?qs=8xX%252BF9%252BWV6EZsgKw9G0PqQ%3D%3D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www.mouser.pl/ProductDetail/Panasonic/ERA-3AEB103V?qs=sGAEpiMZZMtG0KNrPCHnjTg0x5DoQJ5PvHBDpfJ%2F6js%3D" TargetMode="External"/><Relationship Id="rId3" Type="http://schemas.openxmlformats.org/officeDocument/2006/relationships/hyperlink" Target="https://www.mouser.pl/ProductDetail/STMicroelectronics/STM32H750VBT6?qs=%252BEew9%252B0nqrBAeuu%2FsQQSzQ%3D%3D" TargetMode="External"/><Relationship Id="rId12" Type="http://schemas.openxmlformats.org/officeDocument/2006/relationships/hyperlink" Target="https://www.mouser.pl/ProductDetail/STMicroelectronics/USBLC6-4SC6Y?qs=gNDSiZmRJS%252B5K%252Bxjl%252Bw9xw%3D%3D" TargetMode="External"/><Relationship Id="rId17" Type="http://schemas.openxmlformats.org/officeDocument/2006/relationships/hyperlink" Target="https://www.mouser.pl/ProductDetail/Nexperia/PESD36VS2UT215?qs=GcY6OjH1zdmTNUVlmhpatA%3D%3D" TargetMode="External"/><Relationship Id="rId25" Type="http://schemas.openxmlformats.org/officeDocument/2006/relationships/hyperlink" Target="https://www.mouser.pl/ProductDetail/Infineon-Technologies/ESD203B102ELE6327XTMA1?qs=WkdRfq4wf1OiIXUg2DJRsg%3D%3D" TargetMode="External"/><Relationship Id="rId33" Type="http://schemas.openxmlformats.org/officeDocument/2006/relationships/hyperlink" Target="https://www.mouser.pl/ProductDetail/Samsung-Electro-Mechanics/CL05C220JB51PNC?qs=sGAEpiMZZMvsSlwiRhF8qgRqqbZZ6yqByaAX7RFoX58%3D" TargetMode="External"/><Relationship Id="rId38" Type="http://schemas.openxmlformats.org/officeDocument/2006/relationships/hyperlink" Target="https://www.mouser.pl/ProductDetail/TDK/C3216NP01H104J160AA?qs=xLDY6iXSiQaDgtkRRwlWSQ%3D%3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ouser.pl/ProductDetail/KYOCERA-AVX/KGM05ACG1H471JN?qs=sGAEpiMZZMvsSlwiRhF8qrQG6leidpLj7%2F02XXwLj9ToxjnjGSC8lw%3D%3D" TargetMode="External"/><Relationship Id="rId18" Type="http://schemas.openxmlformats.org/officeDocument/2006/relationships/hyperlink" Target="https://www.mouser.pl/ProductDetail/Microchip-Technology/LAN8740AI-EN-TR?qs=6qKXPk0vzx1pdBrIaNrUbA%3D%3D" TargetMode="External"/><Relationship Id="rId26" Type="http://schemas.openxmlformats.org/officeDocument/2006/relationships/hyperlink" Target="https://www.mouser.pl/ProductDetail/Panasonic/ERA-6AEB7153V?qs=sGAEpiMZZMvdGkrng054txAO1F77ZlZQmxHP4Kd%2FCCY%3D" TargetMode="External"/><Relationship Id="rId39" Type="http://schemas.openxmlformats.org/officeDocument/2006/relationships/hyperlink" Target="https://www.mouser.pl/ProductDetail/Microchip-Technology/DSC1001DI1-025.0000?qs=moDRE%2FDosU0aQZ7kAZYZlg%3D%3D" TargetMode="External"/><Relationship Id="rId21" Type="http://schemas.openxmlformats.org/officeDocument/2006/relationships/hyperlink" Target="https://www.mouser.pl/ProductDetail/Wurth-Elektronik/691502710003?qs=3RJ0PdSuLVkj2fkNlWx2NA%3D%3D" TargetMode="External"/><Relationship Id="rId34" Type="http://schemas.openxmlformats.org/officeDocument/2006/relationships/hyperlink" Target="https://www.mouser.pl/ProductDetail/Eaton-Electronics/MOVS4032V230?qs=CiayqK2gdcIfc2V9FwqqWg%3D%3D" TargetMode="External"/><Relationship Id="rId42" Type="http://schemas.openxmlformats.org/officeDocument/2006/relationships/hyperlink" Target="https://www.mouser.pl/ProductDetail/ABRACON/ALANL100X1-DE12DT?qs=BJlw7L4Cy79emB2iS%2FU5sA%3D%3D" TargetMode="External"/><Relationship Id="rId47" Type="http://schemas.openxmlformats.org/officeDocument/2006/relationships/table" Target="../tables/table2.xml"/><Relationship Id="rId7" Type="http://schemas.openxmlformats.org/officeDocument/2006/relationships/hyperlink" Target="https://www.mouser.pl/ProductDetail/Wurth-Elektronik/885392005106?qs=sGAEpiMZZMvsSlwiRhF8qrQG6leidpLjlU%252BxVbSgPOKqvB9NgTk9xw%3D%3D" TargetMode="External"/><Relationship Id="rId2" Type="http://schemas.openxmlformats.org/officeDocument/2006/relationships/hyperlink" Target="https://www.mouser.pl/ProductDetail/Wurth-Elektronik/885342208024?qs=sGAEpiMZZMsh%252B1woXyUXj1PVPNxBwqheBcTc3A%252Bo7bk%3D" TargetMode="External"/><Relationship Id="rId16" Type="http://schemas.openxmlformats.org/officeDocument/2006/relationships/hyperlink" Target="https://www.mouser.pl/ProductDetail/KYOCERA-AVX/GG040205100N2P?qs=AQlKX63v8RtEzxtu3m0x3g%3D%3D" TargetMode="External"/><Relationship Id="rId29" Type="http://schemas.openxmlformats.org/officeDocument/2006/relationships/hyperlink" Target="https://www.mouser.pl/ProductDetail/Vishay-Draloric/RCA060310R0FKEAHP?qs=sGAEpiMZZMtlubZbdhIBIEx98%2FREtpevxNw3vfFrfJI%3D" TargetMode="External"/><Relationship Id="rId1" Type="http://schemas.openxmlformats.org/officeDocument/2006/relationships/hyperlink" Target="https://www.mouser.pl/ProductDetail/KEMET/C0603C104K5RACAUTO?qs=8xX%252BF9%252BWV6EZsgKw9G0PqQ%3D%3D" TargetMode="External"/><Relationship Id="rId6" Type="http://schemas.openxmlformats.org/officeDocument/2006/relationships/hyperlink" Target="https://www.mouser.pl/ProductDetail/Walsin/1210B472K202CT?qs=sGAEpiMZZMsh%252B1woXyUXj6GIMbU2VNPkf3dLcNMbONc%3D" TargetMode="External"/><Relationship Id="rId11" Type="http://schemas.openxmlformats.org/officeDocument/2006/relationships/hyperlink" Target="https://www.mouser.pl/ProductDetail/KYOCERA-AVX/12065C102KAT2A?qs=2q%252BWEwtIaala95xflKOUww%3D%3D" TargetMode="External"/><Relationship Id="rId24" Type="http://schemas.openxmlformats.org/officeDocument/2006/relationships/hyperlink" Target="https://www.mouser.pl/ProductDetail/Panasonic/ERA-2AEB750X?qs=sGAEpiMZZMtlubZbdhIBILRDuhBknqQk92rJ9C9nRy0%3D" TargetMode="External"/><Relationship Id="rId32" Type="http://schemas.openxmlformats.org/officeDocument/2006/relationships/hyperlink" Target="https://www.mouser.pl/ProductDetail/Susumu/RR0510P-101-D?qs=sGAEpiMZZMtlubZbdhIBIHPiT0YkkodQvbyWB4riPVA%3D" TargetMode="External"/><Relationship Id="rId37" Type="http://schemas.openxmlformats.org/officeDocument/2006/relationships/hyperlink" Target="https://www.mouser.pl/ProductDetail/STMicroelectronics/STM32H750VBT6?qs=%252BEew9%252B0nqrBAeuu%2FsQQSzQ%3D%3D" TargetMode="External"/><Relationship Id="rId40" Type="http://schemas.openxmlformats.org/officeDocument/2006/relationships/hyperlink" Target="https://www.mouser.pl/ProductDetail/STMicroelectronics/USBLC6-4SC6Y?qs=gNDSiZmRJS%252B5K%252Bxjl%252Bw9xw%3D%3D" TargetMode="External"/><Relationship Id="rId45" Type="http://schemas.openxmlformats.org/officeDocument/2006/relationships/hyperlink" Target="https://www.mouser.pl/ProductDetail/Murata-Electronics/GRM155R61A104KA01J?qs=sGAEpiMZZMvsSlwiRhF8qhgvwFjLuzRfUr1HHYU4WTg%3D" TargetMode="External"/><Relationship Id="rId5" Type="http://schemas.openxmlformats.org/officeDocument/2006/relationships/hyperlink" Target="https://www.mouser.pl/ProductDetail/YAGEO/AC0402KRX7R9BB223?qs=sGAEpiMZZMvsSlwiRhF8qrQG6leidpLjd%2F3CSZD7O9Kww8uOtHesIQ%3D%3D" TargetMode="External"/><Relationship Id="rId15" Type="http://schemas.openxmlformats.org/officeDocument/2006/relationships/hyperlink" Target="https://www.mouser.pl/ProductDetail/Infineon-Technologies/ESD203B102ELE6327XTMA1?qs=WkdRfq4wf1OiIXUg2DJRsg%3D%3D" TargetMode="External"/><Relationship Id="rId23" Type="http://schemas.openxmlformats.org/officeDocument/2006/relationships/hyperlink" Target="https://www.mouser.pl/ProductDetail/GCT/TBC05-03-1-G-G?qs=sGAEpiMZZMvPvGwLNS671%252B7aWYNAXBhX8MwbRir2ZMNiRgmezEZr7A%3D%3D" TargetMode="External"/><Relationship Id="rId28" Type="http://schemas.openxmlformats.org/officeDocument/2006/relationships/hyperlink" Target="https://www.mouser.pl/ProductDetail/KOA-Speer/RN73H1JTTD94R2F50?qs=pJKkPLTLvBgHgE4xusW2QQ%3D%3D" TargetMode="External"/><Relationship Id="rId36" Type="http://schemas.openxmlformats.org/officeDocument/2006/relationships/hyperlink" Target="https://www.mouser.pl/ProductDetail/Texas-Instruments/AMC3306M25DWER?qs=sGAEpiMZZMutXGli8Ay4kHv45Zn99GEvwopVWZ%252BHH%2FQ%3D" TargetMode="External"/><Relationship Id="rId10" Type="http://schemas.openxmlformats.org/officeDocument/2006/relationships/hyperlink" Target="https://www.mouser.pl/ProductDetail/TDK/CGA3E1X7R1E105K080AC?qs=NRhsANhppD9VxGl2AsmRpw%3D%3D" TargetMode="External"/><Relationship Id="rId19" Type="http://schemas.openxmlformats.org/officeDocument/2006/relationships/hyperlink" Target="https://www.mouser.pl/ProductDetail/Texas-Instruments/SN74LVC14APWRG3?qs=sGAEpiMZZMuyBeSSR239IRGMQ%2FmyR%252BkFp%2FeMm8qJM3U%3D" TargetMode="External"/><Relationship Id="rId31" Type="http://schemas.openxmlformats.org/officeDocument/2006/relationships/hyperlink" Target="https://www.mouser.pl/ProductDetail/YAGEO/RT0402DRE0756RL?qs=gY0y7AQI9SNTJcw5GpBL1g%3D%3D" TargetMode="External"/><Relationship Id="rId44" Type="http://schemas.openxmlformats.org/officeDocument/2006/relationships/hyperlink" Target="https://www.mouser.pl/ProductDetail/Vishay-Beyschlag/MCS04020C4701FE000?qs=wTZ%2FFzl837ZcJxw4gRO3jA%3D%3D" TargetMode="External"/><Relationship Id="rId4" Type="http://schemas.openxmlformats.org/officeDocument/2006/relationships/hyperlink" Target="https://www.mouser.pl/ProductDetail/Samsung-Electro-Mechanics/CL31A226MOCLNNC?qs=sGAEpiMZZMvsSlwiRhF8qvCY8MbTG5UFZeIte4Q5eTU%3D" TargetMode="External"/><Relationship Id="rId9" Type="http://schemas.openxmlformats.org/officeDocument/2006/relationships/hyperlink" Target="https://www.mouser.pl/ProductDetail/TDK/C3216NP01H104J160AA?qs=xLDY6iXSiQaDgtkRRwlWSQ%3D%3D" TargetMode="External"/><Relationship Id="rId14" Type="http://schemas.openxmlformats.org/officeDocument/2006/relationships/hyperlink" Target="https://www.mouser.pl/ProductDetail/KYOCERA-AVX/08051C502KAT2A?qs=sGAEpiMZZMuMW9TJLBQkXptgvjthM9qCnJGqwFGyIyQ%3D" TargetMode="External"/><Relationship Id="rId22" Type="http://schemas.openxmlformats.org/officeDocument/2006/relationships/hyperlink" Target="https://www.mouser.pl/ProductDetail/Molex/47590-0001?qs=B2dI1vFk2x%252BDCUfk3sC4bA%3D%3D" TargetMode="External"/><Relationship Id="rId27" Type="http://schemas.openxmlformats.org/officeDocument/2006/relationships/hyperlink" Target="https://www.mouser.pl/ProductDetail/Panasonic/ERA-3AEB103V?qs=sGAEpiMZZMtG0KNrPCHnjTg0x5DoQJ5PvHBDpfJ%2F6js%3D" TargetMode="External"/><Relationship Id="rId30" Type="http://schemas.openxmlformats.org/officeDocument/2006/relationships/hyperlink" Target="https://www.mouser.pl/ProductDetail/YAGEO/RT0603FRE0712K1L?qs=sGAEpiMZZMtlubZbdhIBILjYW2Gkblj8tpC0PfbogpM%3D" TargetMode="External"/><Relationship Id="rId35" Type="http://schemas.openxmlformats.org/officeDocument/2006/relationships/hyperlink" Target="https://www.mouser.pl/ProductDetail/Texas-Instruments/AMC3336DWER?qs=TuK3vfAjtkUFYNEetxZbpg%3D%3D" TargetMode="External"/><Relationship Id="rId43" Type="http://schemas.openxmlformats.org/officeDocument/2006/relationships/hyperlink" Target="https://www.mouser.pl/ProductDetail/Vishay-Beyschlag/MCS04020C1501FE000?qs=7ZE6F4QMOBb1CssuhAOnZw%3D%3D" TargetMode="External"/><Relationship Id="rId8" Type="http://schemas.openxmlformats.org/officeDocument/2006/relationships/hyperlink" Target="https://www.mouser.pl/ProductDetail/KYOCERA-AVX/06035C103JAT2A?qs=sGAEpiMZZMvsSlwiRhF8qoLJPdUUh17qmeH3U4sbMiE%3D" TargetMode="External"/><Relationship Id="rId3" Type="http://schemas.openxmlformats.org/officeDocument/2006/relationships/hyperlink" Target="https://www.mouser.pl/ProductDetail/KYOCERA-AVX/12063C105KAT2A?qs=v27vNPZSEuYOHibjub0%2F2A%3D%3D" TargetMode="External"/><Relationship Id="rId12" Type="http://schemas.openxmlformats.org/officeDocument/2006/relationships/hyperlink" Target="https://www.mouser.pl/ProductDetail/KEMET/C0603C102K5RAC7411?qs=6vAnWmThf5WkJm2k7MMrkg%3D%3D" TargetMode="External"/><Relationship Id="rId17" Type="http://schemas.openxmlformats.org/officeDocument/2006/relationships/hyperlink" Target="https://www.mouser.pl/ProductDetail/Nexperia/PESD36VS2UT215?qs=GcY6OjH1zdmTNUVlmhpatA%3D%3D" TargetMode="External"/><Relationship Id="rId25" Type="http://schemas.openxmlformats.org/officeDocument/2006/relationships/hyperlink" Target="https://www.mouser.pl/ProductDetail/YAGEO/RC2512JK-071ML?qs=sGAEpiMZZMtlubZbdhIBIIe0KCL5sPzhsvStfdyCaC8%3D" TargetMode="External"/><Relationship Id="rId33" Type="http://schemas.openxmlformats.org/officeDocument/2006/relationships/hyperlink" Target="https://www.mouser.pl/ProductDetail/TE-Connectivity-Holsworthy/TLRP3A30DR025FTE?qs=QNEnbhJQKvb0BhRgpXxfzA%3D%3D" TargetMode="External"/><Relationship Id="rId38" Type="http://schemas.openxmlformats.org/officeDocument/2006/relationships/hyperlink" Target="https://www.mouser.pl/ProductDetail/Texas-Instruments/TPS259620DDAR?qs=XeJtXLiO41RogCpRV1l%252BSg%3D%3D" TargetMode="External"/><Relationship Id="rId46" Type="http://schemas.openxmlformats.org/officeDocument/2006/relationships/hyperlink" Target="https://www.mouser.pl/ProductDetail/Texas-Instruments/SN74LVC2G66DCUR?qs=N6WZOzgtpqWMpNL31DMvDQ%3D%3D" TargetMode="External"/><Relationship Id="rId20" Type="http://schemas.openxmlformats.org/officeDocument/2006/relationships/hyperlink" Target="https://www.mouser.pl/ProductDetail/Wurth-Elektronik/691502710003?qs=3RJ0PdSuLVkj2fkNlWx2NA%3D%3D" TargetMode="External"/><Relationship Id="rId41" Type="http://schemas.openxmlformats.org/officeDocument/2006/relationships/hyperlink" Target="https://www.mouser.pl/ProductDetail/Texas-Instruments/TLV1117LV33DCYR?qs=tEz3BkPb1rwzXMb8FiWhow%3D%3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pl/ProductDetail/Susumu/RR0510P-101-D?qs=sGAEpiMZZMtlubZbdhIBIHPiT0YkkodQvbyWB4riPVA%3D" TargetMode="External"/><Relationship Id="rId13" Type="http://schemas.openxmlformats.org/officeDocument/2006/relationships/hyperlink" Target="https://www.mouser.pl/ProductDetail/Murata-Electronics/GRM155R61A104KA01J?qs=sGAEpiMZZMvsSlwiRhF8qhgvwFjLuzRfUr1HHYU4WTg%3D" TargetMode="External"/><Relationship Id="rId3" Type="http://schemas.openxmlformats.org/officeDocument/2006/relationships/hyperlink" Target="https://www.mouser.pl/ProductDetail/Wurth-Elektronik/885392005106?qs=sGAEpiMZZMvsSlwiRhF8qrQG6leidpLjlU%252BxVbSgPOKqvB9NgTk9xw%3D%3D" TargetMode="External"/><Relationship Id="rId7" Type="http://schemas.openxmlformats.org/officeDocument/2006/relationships/hyperlink" Target="https://www.mouser.pl/ProductDetail/YAGEO/RT0402DRE0756RL?qs=gY0y7AQI9SNTJcw5GpBL1g%3D%3D" TargetMode="External"/><Relationship Id="rId12" Type="http://schemas.openxmlformats.org/officeDocument/2006/relationships/hyperlink" Target="https://www.mouser.pl/ProductDetail/Vishay-Beyschlag/MCS04020C1501FE000?qs=7ZE6F4QMOBb1CssuhAOnZw%3D%3D" TargetMode="External"/><Relationship Id="rId2" Type="http://schemas.openxmlformats.org/officeDocument/2006/relationships/hyperlink" Target="https://www.mouser.pl/ProductDetail/YAGEO/AC0402KRX7R9BB223?qs=sGAEpiMZZMvsSlwiRhF8qrQG6leidpLjd%2F3CSZD7O9Kww8uOtHesIQ%3D%3D" TargetMode="External"/><Relationship Id="rId1" Type="http://schemas.openxmlformats.org/officeDocument/2006/relationships/hyperlink" Target="https://www.mouser.pl/ProductDetail/KYOCERA-AVX/12063C105KAT2A?qs=v27vNPZSEuYOHibjub0%2F2A%3D%3D" TargetMode="External"/><Relationship Id="rId6" Type="http://schemas.openxmlformats.org/officeDocument/2006/relationships/hyperlink" Target="https://www.mouser.pl/ProductDetail/YAGEO/RT0603FRE0712K1L?qs=sGAEpiMZZMtlubZbdhIBILjYW2Gkblj8tpC0PfbogpM%3D" TargetMode="External"/><Relationship Id="rId11" Type="http://schemas.openxmlformats.org/officeDocument/2006/relationships/hyperlink" Target="https://www.mouser.pl/ProductDetail/Texas-Instruments/TLV1117LV33DCYR?qs=tEz3BkPb1rwzXMb8FiWhow%3D%3D" TargetMode="External"/><Relationship Id="rId5" Type="http://schemas.openxmlformats.org/officeDocument/2006/relationships/hyperlink" Target="https://www.mouser.pl/ProductDetail/Microchip-Technology/LAN8740AI-EN-TR?qs=6qKXPk0vzx1pdBrIaNrUbA%3D%3D" TargetMode="External"/><Relationship Id="rId10" Type="http://schemas.openxmlformats.org/officeDocument/2006/relationships/hyperlink" Target="https://www.mouser.pl/ProductDetail/Microchip-Technology/DSC1001DI1-025.0000?qs=moDRE%2FDosU0aQZ7kAZYZlg%3D%3D" TargetMode="External"/><Relationship Id="rId4" Type="http://schemas.openxmlformats.org/officeDocument/2006/relationships/hyperlink" Target="https://www.mouser.pl/ProductDetail/KYOCERA-AVX/KGM05ACG1H471JN?qs=sGAEpiMZZMvsSlwiRhF8qrQG6leidpLj7%2F02XXwLj9ToxjnjGSC8lw%3D%3D" TargetMode="External"/><Relationship Id="rId9" Type="http://schemas.openxmlformats.org/officeDocument/2006/relationships/hyperlink" Target="https://www.mouser.pl/ProductDetail/STMicroelectronics/STM32H750VBT6?qs=%252BEew9%252B0nqrBAeuu%2FsQQSzQ%3D%3D" TargetMode="External"/><Relationship Id="rId1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4BE2-6E70-44CD-A9E1-673A5BA59568}">
  <dimension ref="A1:K80"/>
  <sheetViews>
    <sheetView topLeftCell="A22" workbookViewId="0">
      <selection activeCell="C3" sqref="C3"/>
    </sheetView>
  </sheetViews>
  <sheetFormatPr defaultRowHeight="15" x14ac:dyDescent="0.25"/>
  <cols>
    <col min="1" max="1" width="35.140625" style="8" customWidth="1"/>
    <col min="2" max="2" width="24.85546875" style="6" customWidth="1"/>
    <col min="3" max="3" width="25.28515625" customWidth="1"/>
    <col min="4" max="4" width="18" style="6" customWidth="1"/>
    <col min="5" max="5" width="71.28515625" customWidth="1"/>
    <col min="6" max="6" width="26.28515625" customWidth="1"/>
    <col min="8" max="8" width="19.5703125" customWidth="1"/>
    <col min="9" max="9" width="20.5703125" customWidth="1"/>
  </cols>
  <sheetData>
    <row r="1" spans="1:11" x14ac:dyDescent="0.25">
      <c r="A1" s="4" t="s">
        <v>0</v>
      </c>
      <c r="B1" s="2" t="s">
        <v>1</v>
      </c>
      <c r="C1" s="2" t="s">
        <v>2</v>
      </c>
      <c r="D1" s="2" t="s">
        <v>172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5"/>
    </row>
    <row r="2" spans="1:11" ht="45" x14ac:dyDescent="0.25">
      <c r="A2" s="7" t="s">
        <v>233</v>
      </c>
      <c r="B2" s="3" t="s">
        <v>9</v>
      </c>
      <c r="C2" s="3" t="s">
        <v>192</v>
      </c>
      <c r="D2" s="25">
        <v>0</v>
      </c>
      <c r="E2" s="1" t="s">
        <v>10</v>
      </c>
      <c r="F2" s="1" t="s">
        <v>11</v>
      </c>
      <c r="G2" s="1">
        <v>25</v>
      </c>
      <c r="H2" s="1"/>
      <c r="I2" s="1"/>
      <c r="J2" s="1"/>
    </row>
    <row r="3" spans="1:11" x14ac:dyDescent="0.25">
      <c r="A3" s="4" t="s">
        <v>234</v>
      </c>
      <c r="B3" s="3" t="s">
        <v>9</v>
      </c>
      <c r="C3" s="18" t="s">
        <v>235</v>
      </c>
      <c r="D3" s="25">
        <v>2</v>
      </c>
      <c r="E3" s="1" t="s">
        <v>10</v>
      </c>
      <c r="F3" s="1"/>
      <c r="G3" s="1"/>
      <c r="H3" s="1"/>
      <c r="I3" s="1"/>
      <c r="J3" s="1"/>
    </row>
    <row r="4" spans="1:11" x14ac:dyDescent="0.25">
      <c r="A4" s="7" t="s">
        <v>12</v>
      </c>
      <c r="B4" s="3" t="s">
        <v>13</v>
      </c>
      <c r="C4" s="3" t="s">
        <v>192</v>
      </c>
      <c r="D4" s="25">
        <v>0</v>
      </c>
      <c r="E4" s="1" t="s">
        <v>203</v>
      </c>
      <c r="F4" s="1" t="s">
        <v>11</v>
      </c>
      <c r="G4" s="1">
        <v>1</v>
      </c>
      <c r="H4" s="1"/>
      <c r="I4" s="1"/>
      <c r="J4" s="1"/>
    </row>
    <row r="5" spans="1:11" x14ac:dyDescent="0.25">
      <c r="A5" s="7" t="s">
        <v>214</v>
      </c>
      <c r="B5" s="3" t="s">
        <v>215</v>
      </c>
      <c r="C5" s="18" t="s">
        <v>232</v>
      </c>
      <c r="D5" s="25">
        <v>5</v>
      </c>
      <c r="E5" s="1" t="s">
        <v>14</v>
      </c>
      <c r="F5" s="1"/>
      <c r="G5" s="1"/>
      <c r="H5" s="1"/>
      <c r="I5" s="1"/>
      <c r="J5" s="1"/>
    </row>
    <row r="6" spans="1:11" x14ac:dyDescent="0.25">
      <c r="A6" s="7" t="s">
        <v>217</v>
      </c>
      <c r="B6" s="3" t="s">
        <v>15</v>
      </c>
      <c r="C6" s="18" t="s">
        <v>236</v>
      </c>
      <c r="D6" s="25">
        <v>6</v>
      </c>
      <c r="E6" s="1" t="s">
        <v>14</v>
      </c>
      <c r="F6" s="1" t="s">
        <v>11</v>
      </c>
      <c r="G6" s="1">
        <v>10</v>
      </c>
      <c r="H6" s="1"/>
      <c r="I6" s="1"/>
      <c r="J6" s="1"/>
    </row>
    <row r="7" spans="1:11" x14ac:dyDescent="0.25">
      <c r="A7" s="7" t="s">
        <v>16</v>
      </c>
      <c r="B7" s="3" t="s">
        <v>17</v>
      </c>
      <c r="C7" s="18">
        <v>885342208024</v>
      </c>
      <c r="D7" s="25">
        <v>1.5</v>
      </c>
      <c r="E7" s="1" t="s">
        <v>14</v>
      </c>
      <c r="F7" s="1" t="s">
        <v>11</v>
      </c>
      <c r="G7" s="1">
        <v>3</v>
      </c>
      <c r="H7" s="1"/>
      <c r="I7" s="1"/>
      <c r="J7" s="1"/>
    </row>
    <row r="8" spans="1:11" x14ac:dyDescent="0.25">
      <c r="A8" s="7" t="s">
        <v>18</v>
      </c>
      <c r="B8" s="3" t="s">
        <v>19</v>
      </c>
      <c r="C8" s="22" t="s">
        <v>306</v>
      </c>
      <c r="D8" s="25">
        <v>1.9</v>
      </c>
      <c r="E8" s="1" t="s">
        <v>20</v>
      </c>
      <c r="F8" s="1" t="s">
        <v>11</v>
      </c>
      <c r="G8" s="1">
        <v>1</v>
      </c>
      <c r="H8" s="1"/>
      <c r="I8" s="1"/>
      <c r="J8" s="1"/>
    </row>
    <row r="9" spans="1:11" x14ac:dyDescent="0.25">
      <c r="A9" s="7" t="s">
        <v>21</v>
      </c>
      <c r="B9" s="3" t="s">
        <v>22</v>
      </c>
      <c r="C9" s="18" t="s">
        <v>227</v>
      </c>
      <c r="D9" s="25">
        <v>1.7</v>
      </c>
      <c r="E9" s="1" t="s">
        <v>228</v>
      </c>
      <c r="F9" s="1" t="s">
        <v>11</v>
      </c>
      <c r="G9" s="1">
        <v>1</v>
      </c>
      <c r="H9" s="1"/>
      <c r="I9" s="1"/>
      <c r="J9" s="1"/>
    </row>
    <row r="10" spans="1:11" x14ac:dyDescent="0.25">
      <c r="A10" s="7" t="s">
        <v>23</v>
      </c>
      <c r="B10" s="3" t="s">
        <v>24</v>
      </c>
      <c r="C10" s="18">
        <v>885392005106</v>
      </c>
      <c r="D10" s="25">
        <v>2.5</v>
      </c>
      <c r="E10" s="1" t="s">
        <v>20</v>
      </c>
      <c r="F10" s="1" t="s">
        <v>11</v>
      </c>
      <c r="G10" s="1">
        <v>4</v>
      </c>
      <c r="H10" s="1"/>
      <c r="I10" s="1"/>
      <c r="J10" s="1"/>
    </row>
    <row r="11" spans="1:11" x14ac:dyDescent="0.25">
      <c r="A11" s="21" t="s">
        <v>25</v>
      </c>
      <c r="B11" s="3" t="s">
        <v>26</v>
      </c>
      <c r="C11" s="18" t="s">
        <v>237</v>
      </c>
      <c r="D11" s="25">
        <v>1.5</v>
      </c>
      <c r="E11" s="1" t="s">
        <v>10</v>
      </c>
      <c r="F11" s="1" t="s">
        <v>11</v>
      </c>
      <c r="G11" s="1">
        <v>1</v>
      </c>
      <c r="H11" s="1"/>
      <c r="I11" s="1"/>
      <c r="J11" s="1"/>
    </row>
    <row r="12" spans="1:11" x14ac:dyDescent="0.25">
      <c r="A12" s="4" t="s">
        <v>27</v>
      </c>
      <c r="B12" s="3" t="s">
        <v>9</v>
      </c>
      <c r="C12" s="18" t="s">
        <v>238</v>
      </c>
      <c r="D12" s="25">
        <v>5</v>
      </c>
      <c r="E12" s="1" t="s">
        <v>14</v>
      </c>
      <c r="F12" s="1" t="s">
        <v>11</v>
      </c>
      <c r="G12" s="1">
        <v>2</v>
      </c>
      <c r="H12" s="1"/>
      <c r="I12" s="1"/>
      <c r="J12" s="1"/>
    </row>
    <row r="13" spans="1:11" x14ac:dyDescent="0.25">
      <c r="A13" s="4" t="s">
        <v>28</v>
      </c>
      <c r="B13" s="3" t="s">
        <v>15</v>
      </c>
      <c r="C13" s="22" t="s">
        <v>307</v>
      </c>
      <c r="D13" s="25">
        <v>3.6</v>
      </c>
      <c r="E13" s="1" t="s">
        <v>10</v>
      </c>
      <c r="F13" s="1" t="s">
        <v>11</v>
      </c>
      <c r="G13" s="1">
        <v>2</v>
      </c>
      <c r="H13" s="1"/>
      <c r="I13" s="1"/>
      <c r="J13" s="1"/>
    </row>
    <row r="14" spans="1:11" x14ac:dyDescent="0.25">
      <c r="A14" s="4" t="s">
        <v>29</v>
      </c>
      <c r="B14" s="3" t="s">
        <v>30</v>
      </c>
      <c r="C14" s="18" t="s">
        <v>239</v>
      </c>
      <c r="D14" s="25">
        <v>5</v>
      </c>
      <c r="E14" s="1" t="s">
        <v>14</v>
      </c>
      <c r="F14" s="1" t="s">
        <v>31</v>
      </c>
      <c r="G14" s="1">
        <v>4</v>
      </c>
      <c r="H14" s="1"/>
      <c r="I14" s="1"/>
      <c r="J14" s="1"/>
    </row>
    <row r="15" spans="1:11" x14ac:dyDescent="0.25">
      <c r="A15" s="21" t="s">
        <v>216</v>
      </c>
      <c r="B15" s="3" t="s">
        <v>30</v>
      </c>
      <c r="C15" s="18" t="s">
        <v>240</v>
      </c>
      <c r="D15" s="25">
        <v>1</v>
      </c>
      <c r="E15" s="1" t="s">
        <v>10</v>
      </c>
      <c r="F15" s="1" t="s">
        <v>11</v>
      </c>
      <c r="G15" s="1">
        <v>3</v>
      </c>
      <c r="H15" s="1"/>
      <c r="I15" s="1"/>
      <c r="J15" s="1"/>
    </row>
    <row r="16" spans="1:11" x14ac:dyDescent="0.25">
      <c r="A16" s="7" t="s">
        <v>213</v>
      </c>
      <c r="B16" s="3" t="s">
        <v>32</v>
      </c>
      <c r="C16" s="3" t="s">
        <v>192</v>
      </c>
      <c r="D16" s="25">
        <v>0</v>
      </c>
      <c r="E16" s="1" t="s">
        <v>10</v>
      </c>
      <c r="F16" s="1" t="s">
        <v>11</v>
      </c>
      <c r="G16" s="1">
        <v>1</v>
      </c>
      <c r="H16" s="1"/>
      <c r="I16" s="1"/>
      <c r="J16" s="1"/>
    </row>
    <row r="17" spans="1:10" x14ac:dyDescent="0.25">
      <c r="A17" s="7" t="s">
        <v>33</v>
      </c>
      <c r="B17" s="3" t="s">
        <v>34</v>
      </c>
      <c r="C17" s="23" t="s">
        <v>231</v>
      </c>
      <c r="D17" s="25">
        <v>2</v>
      </c>
      <c r="E17" s="1" t="s">
        <v>20</v>
      </c>
      <c r="F17" s="1" t="s">
        <v>11</v>
      </c>
      <c r="G17" s="1">
        <v>1</v>
      </c>
      <c r="H17" s="1"/>
      <c r="I17" s="1"/>
      <c r="J17" s="1"/>
    </row>
    <row r="18" spans="1:10" x14ac:dyDescent="0.25">
      <c r="A18" s="7" t="s">
        <v>35</v>
      </c>
      <c r="B18" s="3" t="s">
        <v>36</v>
      </c>
      <c r="C18" s="18" t="s">
        <v>230</v>
      </c>
      <c r="D18" s="25">
        <v>2</v>
      </c>
      <c r="E18" s="1" t="s">
        <v>229</v>
      </c>
      <c r="F18" s="1" t="s">
        <v>11</v>
      </c>
      <c r="G18" s="1">
        <v>2</v>
      </c>
      <c r="H18" s="1"/>
      <c r="I18" s="1"/>
      <c r="J18" s="1"/>
    </row>
    <row r="19" spans="1:10" x14ac:dyDescent="0.25">
      <c r="A19" s="7" t="s">
        <v>37</v>
      </c>
      <c r="B19" s="3" t="s">
        <v>38</v>
      </c>
      <c r="C19" s="3" t="s">
        <v>192</v>
      </c>
      <c r="D19" s="25">
        <v>0</v>
      </c>
      <c r="E19" s="1" t="s">
        <v>39</v>
      </c>
      <c r="F19" s="1" t="s">
        <v>11</v>
      </c>
      <c r="G19" s="1">
        <v>1</v>
      </c>
      <c r="H19" s="1"/>
      <c r="I19" s="1"/>
      <c r="J19" s="1"/>
    </row>
    <row r="20" spans="1:10" x14ac:dyDescent="0.25">
      <c r="A20" s="7" t="s">
        <v>40</v>
      </c>
      <c r="B20" s="3" t="s">
        <v>41</v>
      </c>
      <c r="C20" s="3" t="s">
        <v>192</v>
      </c>
      <c r="D20" s="25">
        <v>0</v>
      </c>
      <c r="E20" s="1" t="s">
        <v>39</v>
      </c>
      <c r="F20" s="1" t="s">
        <v>11</v>
      </c>
      <c r="G20" s="1">
        <v>1</v>
      </c>
      <c r="H20" s="1"/>
      <c r="I20" s="1"/>
      <c r="J20" s="1"/>
    </row>
    <row r="21" spans="1:10" ht="30" x14ac:dyDescent="0.25">
      <c r="A21" s="7" t="s">
        <v>219</v>
      </c>
      <c r="B21" s="3" t="s">
        <v>42</v>
      </c>
      <c r="C21" s="22" t="s">
        <v>220</v>
      </c>
      <c r="D21" s="25">
        <v>1.5</v>
      </c>
      <c r="E21" s="1" t="s">
        <v>222</v>
      </c>
      <c r="F21" s="1"/>
      <c r="G21" s="1"/>
      <c r="H21" s="1"/>
      <c r="I21" s="1"/>
      <c r="J21" s="1"/>
    </row>
    <row r="22" spans="1:10" x14ac:dyDescent="0.25">
      <c r="A22" s="7" t="s">
        <v>218</v>
      </c>
      <c r="B22" s="3" t="s">
        <v>42</v>
      </c>
      <c r="C22" s="23" t="s">
        <v>221</v>
      </c>
      <c r="D22" s="25">
        <v>1</v>
      </c>
      <c r="E22" s="1" t="s">
        <v>223</v>
      </c>
      <c r="F22" s="1" t="s">
        <v>11</v>
      </c>
      <c r="G22" s="1">
        <v>2</v>
      </c>
      <c r="H22" s="1"/>
      <c r="I22" s="1"/>
      <c r="J22" s="1"/>
    </row>
    <row r="23" spans="1:10" x14ac:dyDescent="0.25">
      <c r="A23" s="7" t="s">
        <v>43</v>
      </c>
      <c r="B23" s="3" t="s">
        <v>44</v>
      </c>
      <c r="C23" s="3" t="s">
        <v>192</v>
      </c>
      <c r="D23" s="25">
        <v>0</v>
      </c>
      <c r="E23" s="1" t="s">
        <v>39</v>
      </c>
      <c r="F23" s="1" t="s">
        <v>11</v>
      </c>
      <c r="G23" s="1">
        <v>1</v>
      </c>
      <c r="H23" s="1"/>
      <c r="I23" s="1"/>
      <c r="J23" s="1"/>
    </row>
    <row r="24" spans="1:10" x14ac:dyDescent="0.25">
      <c r="A24" s="7" t="s">
        <v>45</v>
      </c>
      <c r="B24" s="3" t="s">
        <v>46</v>
      </c>
      <c r="C24" s="3" t="s">
        <v>192</v>
      </c>
      <c r="D24" s="25">
        <v>0</v>
      </c>
      <c r="E24" s="1" t="s">
        <v>39</v>
      </c>
      <c r="F24" s="1" t="s">
        <v>11</v>
      </c>
      <c r="G24" s="1">
        <v>1</v>
      </c>
      <c r="H24" s="1"/>
      <c r="I24" s="1"/>
      <c r="J24" s="1"/>
    </row>
    <row r="25" spans="1:10" x14ac:dyDescent="0.25">
      <c r="A25" s="7" t="s">
        <v>47</v>
      </c>
      <c r="B25" s="3" t="s">
        <v>48</v>
      </c>
      <c r="C25" s="3" t="s">
        <v>192</v>
      </c>
      <c r="D25" s="25">
        <v>0</v>
      </c>
      <c r="E25" s="1" t="s">
        <v>39</v>
      </c>
      <c r="F25" s="1" t="s">
        <v>11</v>
      </c>
      <c r="G25" s="1">
        <v>1</v>
      </c>
      <c r="H25" s="1"/>
      <c r="I25" s="1"/>
      <c r="J25" s="1"/>
    </row>
    <row r="26" spans="1:10" x14ac:dyDescent="0.25">
      <c r="A26" s="7" t="s">
        <v>49</v>
      </c>
      <c r="B26" s="3" t="s">
        <v>50</v>
      </c>
      <c r="C26" s="3" t="s">
        <v>192</v>
      </c>
      <c r="D26" s="25">
        <v>0</v>
      </c>
      <c r="E26" s="1" t="s">
        <v>39</v>
      </c>
      <c r="F26" s="1" t="s">
        <v>11</v>
      </c>
      <c r="G26" s="1">
        <v>1</v>
      </c>
      <c r="H26" s="1"/>
      <c r="I26" s="1"/>
      <c r="J26" s="1"/>
    </row>
    <row r="27" spans="1:10" x14ac:dyDescent="0.25">
      <c r="A27" s="7" t="s">
        <v>51</v>
      </c>
      <c r="B27" s="3" t="s">
        <v>52</v>
      </c>
      <c r="C27" s="13" t="s">
        <v>191</v>
      </c>
      <c r="D27" s="25">
        <v>2.5</v>
      </c>
      <c r="E27" s="1" t="s">
        <v>53</v>
      </c>
      <c r="F27" s="1" t="s">
        <v>54</v>
      </c>
      <c r="G27" s="1">
        <v>2</v>
      </c>
      <c r="H27" s="1"/>
      <c r="I27" s="1"/>
      <c r="J27" s="1"/>
    </row>
    <row r="28" spans="1:10" x14ac:dyDescent="0.25">
      <c r="A28" s="7" t="s">
        <v>55</v>
      </c>
      <c r="B28" s="3" t="s">
        <v>199</v>
      </c>
      <c r="C28" s="3" t="s">
        <v>192</v>
      </c>
      <c r="D28" s="25">
        <v>0</v>
      </c>
      <c r="E28" s="1" t="s">
        <v>198</v>
      </c>
      <c r="F28" s="1" t="s">
        <v>11</v>
      </c>
      <c r="G28" s="1">
        <v>2</v>
      </c>
      <c r="H28" s="1"/>
      <c r="I28" s="1"/>
      <c r="J28" s="1"/>
    </row>
    <row r="29" spans="1:10" x14ac:dyDescent="0.25">
      <c r="A29" s="7" t="s">
        <v>56</v>
      </c>
      <c r="B29" s="3" t="s">
        <v>57</v>
      </c>
      <c r="C29" s="17" t="s">
        <v>189</v>
      </c>
      <c r="D29" s="25">
        <v>8</v>
      </c>
      <c r="E29" s="1" t="s">
        <v>58</v>
      </c>
      <c r="F29" s="1" t="s">
        <v>59</v>
      </c>
      <c r="G29" s="1">
        <v>1</v>
      </c>
      <c r="H29" s="1"/>
      <c r="I29" s="1"/>
      <c r="J29" s="1"/>
    </row>
    <row r="30" spans="1:10" x14ac:dyDescent="0.25">
      <c r="A30" s="7" t="s">
        <v>60</v>
      </c>
      <c r="B30" s="3" t="s">
        <v>61</v>
      </c>
      <c r="C30" s="13" t="s">
        <v>190</v>
      </c>
      <c r="D30" s="25">
        <v>1.6</v>
      </c>
      <c r="E30" s="1" t="s">
        <v>62</v>
      </c>
      <c r="F30" s="1" t="s">
        <v>63</v>
      </c>
      <c r="G30" s="1">
        <v>1</v>
      </c>
      <c r="H30" s="1"/>
      <c r="I30" s="1"/>
      <c r="J30" s="1"/>
    </row>
    <row r="31" spans="1:10" x14ac:dyDescent="0.25">
      <c r="A31" s="7" t="s">
        <v>64</v>
      </c>
      <c r="B31" s="3" t="s">
        <v>65</v>
      </c>
      <c r="C31" s="3" t="s">
        <v>192</v>
      </c>
      <c r="D31" s="25">
        <v>0</v>
      </c>
      <c r="E31" s="1" t="s">
        <v>66</v>
      </c>
      <c r="F31" s="1" t="s">
        <v>11</v>
      </c>
      <c r="G31" s="1">
        <v>1</v>
      </c>
      <c r="H31" s="1"/>
      <c r="I31" s="1"/>
      <c r="J31" s="1"/>
    </row>
    <row r="32" spans="1:10" x14ac:dyDescent="0.25">
      <c r="A32" s="7" t="s">
        <v>67</v>
      </c>
      <c r="B32" s="3" t="s">
        <v>68</v>
      </c>
      <c r="C32" s="16" t="s">
        <v>185</v>
      </c>
      <c r="D32" s="25">
        <v>3</v>
      </c>
      <c r="E32" s="1" t="s">
        <v>69</v>
      </c>
      <c r="F32" s="1" t="s">
        <v>11</v>
      </c>
      <c r="G32" s="1">
        <v>1</v>
      </c>
      <c r="H32" s="1"/>
      <c r="I32" s="1"/>
      <c r="J32" s="1"/>
    </row>
    <row r="33" spans="1:10" x14ac:dyDescent="0.25">
      <c r="A33" s="7" t="s">
        <v>70</v>
      </c>
      <c r="B33" s="3" t="s">
        <v>71</v>
      </c>
      <c r="C33" s="13" t="s">
        <v>176</v>
      </c>
      <c r="D33" s="25">
        <v>4</v>
      </c>
      <c r="E33" s="1" t="s">
        <v>72</v>
      </c>
      <c r="F33" s="1" t="s">
        <v>11</v>
      </c>
      <c r="G33" s="1">
        <v>1</v>
      </c>
      <c r="H33" s="1"/>
      <c r="I33" s="1"/>
      <c r="J33" s="1"/>
    </row>
    <row r="34" spans="1:10" x14ac:dyDescent="0.25">
      <c r="A34" s="7" t="s">
        <v>73</v>
      </c>
      <c r="B34" s="3" t="s">
        <v>74</v>
      </c>
      <c r="C34" s="3" t="s">
        <v>192</v>
      </c>
      <c r="D34" s="25">
        <v>0</v>
      </c>
      <c r="E34" s="1" t="s">
        <v>193</v>
      </c>
      <c r="F34" s="1" t="s">
        <v>11</v>
      </c>
      <c r="G34" s="1">
        <v>1</v>
      </c>
      <c r="H34" s="1"/>
      <c r="I34" s="1"/>
      <c r="J34" s="1"/>
    </row>
    <row r="35" spans="1:10" x14ac:dyDescent="0.25">
      <c r="A35" s="7" t="s">
        <v>75</v>
      </c>
      <c r="B35" s="3" t="s">
        <v>76</v>
      </c>
      <c r="C35" s="13" t="s">
        <v>176</v>
      </c>
      <c r="D35" s="25">
        <v>4</v>
      </c>
      <c r="E35" s="1" t="s">
        <v>72</v>
      </c>
      <c r="F35" s="1" t="s">
        <v>11</v>
      </c>
      <c r="G35" s="1">
        <v>1</v>
      </c>
      <c r="H35" s="1"/>
      <c r="I35" s="1"/>
      <c r="J35" s="1"/>
    </row>
    <row r="36" spans="1:10" x14ac:dyDescent="0.25">
      <c r="A36" s="7" t="s">
        <v>77</v>
      </c>
      <c r="B36" s="3" t="s">
        <v>78</v>
      </c>
      <c r="C36" s="3" t="s">
        <v>192</v>
      </c>
      <c r="D36" s="25">
        <v>0</v>
      </c>
      <c r="E36" s="1" t="s">
        <v>79</v>
      </c>
      <c r="F36" s="1" t="s">
        <v>11</v>
      </c>
      <c r="G36" s="1">
        <v>1</v>
      </c>
      <c r="H36" s="1"/>
      <c r="I36" s="1"/>
      <c r="J36" s="1"/>
    </row>
    <row r="37" spans="1:10" x14ac:dyDescent="0.25">
      <c r="A37" s="7" t="s">
        <v>80</v>
      </c>
      <c r="B37" s="3" t="s">
        <v>81</v>
      </c>
      <c r="C37" s="3" t="s">
        <v>192</v>
      </c>
      <c r="D37" s="25">
        <v>0</v>
      </c>
      <c r="E37" s="1" t="s">
        <v>194</v>
      </c>
      <c r="F37" s="1" t="s">
        <v>82</v>
      </c>
      <c r="G37" s="1">
        <v>1</v>
      </c>
      <c r="H37" s="1"/>
      <c r="I37" s="1"/>
      <c r="J37" s="1"/>
    </row>
    <row r="38" spans="1:10" x14ac:dyDescent="0.25">
      <c r="A38" s="7" t="s">
        <v>83</v>
      </c>
      <c r="B38" s="3" t="s">
        <v>84</v>
      </c>
      <c r="C38" s="3" t="s">
        <v>192</v>
      </c>
      <c r="D38" s="25">
        <v>0</v>
      </c>
      <c r="E38" s="1" t="s">
        <v>79</v>
      </c>
      <c r="F38" s="1" t="s">
        <v>11</v>
      </c>
      <c r="G38" s="1">
        <v>1</v>
      </c>
      <c r="H38" s="1"/>
      <c r="I38" s="1"/>
      <c r="J38" s="1"/>
    </row>
    <row r="39" spans="1:10" x14ac:dyDescent="0.25">
      <c r="A39" s="7" t="s">
        <v>85</v>
      </c>
      <c r="B39" s="3" t="s">
        <v>86</v>
      </c>
      <c r="C39" s="3" t="s">
        <v>192</v>
      </c>
      <c r="D39" s="25">
        <v>0</v>
      </c>
      <c r="E39" s="1" t="s">
        <v>87</v>
      </c>
      <c r="F39" s="1" t="s">
        <v>11</v>
      </c>
      <c r="G39" s="1">
        <v>1</v>
      </c>
      <c r="H39" s="1"/>
      <c r="I39" s="1"/>
      <c r="J39" s="1"/>
    </row>
    <row r="40" spans="1:10" x14ac:dyDescent="0.25">
      <c r="A40" s="7" t="s">
        <v>88</v>
      </c>
      <c r="B40" s="3" t="s">
        <v>89</v>
      </c>
      <c r="C40" s="18" t="s">
        <v>210</v>
      </c>
      <c r="D40" s="25">
        <v>4</v>
      </c>
      <c r="E40" s="1" t="s">
        <v>211</v>
      </c>
      <c r="F40" s="1" t="s">
        <v>11</v>
      </c>
      <c r="G40" s="1">
        <v>1</v>
      </c>
      <c r="H40" s="1"/>
      <c r="I40" s="1"/>
      <c r="J40" s="1"/>
    </row>
    <row r="41" spans="1:10" x14ac:dyDescent="0.25">
      <c r="A41" s="7" t="s">
        <v>90</v>
      </c>
      <c r="B41" s="3" t="s">
        <v>91</v>
      </c>
      <c r="C41" s="3" t="s">
        <v>192</v>
      </c>
      <c r="D41" s="25">
        <v>0</v>
      </c>
      <c r="E41" s="1" t="s">
        <v>92</v>
      </c>
      <c r="F41" s="1" t="s">
        <v>11</v>
      </c>
      <c r="G41" s="1">
        <v>1</v>
      </c>
      <c r="H41" s="1"/>
      <c r="I41" s="1"/>
      <c r="J41" s="1"/>
    </row>
    <row r="42" spans="1:10" x14ac:dyDescent="0.25">
      <c r="A42" s="7" t="s">
        <v>93</v>
      </c>
      <c r="B42" s="3" t="s">
        <v>94</v>
      </c>
      <c r="C42" s="3" t="s">
        <v>192</v>
      </c>
      <c r="D42" s="25">
        <v>0</v>
      </c>
      <c r="E42" s="1" t="s">
        <v>193</v>
      </c>
      <c r="F42" s="1" t="s">
        <v>11</v>
      </c>
      <c r="G42" s="1">
        <v>1</v>
      </c>
      <c r="H42" s="1"/>
      <c r="I42" s="1"/>
      <c r="J42" s="1"/>
    </row>
    <row r="43" spans="1:10" x14ac:dyDescent="0.25">
      <c r="A43" s="7" t="s">
        <v>95</v>
      </c>
      <c r="B43" s="3" t="s">
        <v>96</v>
      </c>
      <c r="C43" s="3" t="s">
        <v>192</v>
      </c>
      <c r="D43" s="25">
        <v>0</v>
      </c>
      <c r="E43" s="1" t="s">
        <v>193</v>
      </c>
      <c r="F43" s="1" t="s">
        <v>11</v>
      </c>
      <c r="G43" s="1">
        <v>1</v>
      </c>
      <c r="H43" s="1"/>
      <c r="I43" s="1"/>
      <c r="J43" s="1"/>
    </row>
    <row r="44" spans="1:10" x14ac:dyDescent="0.25">
      <c r="A44" s="7" t="s">
        <v>97</v>
      </c>
      <c r="B44" s="3" t="s">
        <v>98</v>
      </c>
      <c r="C44" s="3" t="s">
        <v>192</v>
      </c>
      <c r="D44" s="25">
        <v>0</v>
      </c>
      <c r="E44" s="1" t="s">
        <v>99</v>
      </c>
      <c r="F44" s="1" t="s">
        <v>11</v>
      </c>
      <c r="G44" s="1">
        <v>1</v>
      </c>
      <c r="H44" s="1"/>
      <c r="I44" s="1"/>
      <c r="J44" s="1"/>
    </row>
    <row r="45" spans="1:10" x14ac:dyDescent="0.25">
      <c r="A45" s="7" t="s">
        <v>100</v>
      </c>
      <c r="B45" s="3" t="s">
        <v>101</v>
      </c>
      <c r="C45" s="3" t="s">
        <v>192</v>
      </c>
      <c r="D45" s="25">
        <v>0</v>
      </c>
      <c r="E45" s="1" t="s">
        <v>99</v>
      </c>
      <c r="F45" s="1" t="s">
        <v>11</v>
      </c>
      <c r="G45" s="1">
        <v>1</v>
      </c>
      <c r="H45" s="1"/>
      <c r="I45" s="1"/>
      <c r="J45" s="1"/>
    </row>
    <row r="46" spans="1:10" x14ac:dyDescent="0.25">
      <c r="A46" s="7" t="s">
        <v>102</v>
      </c>
      <c r="B46" s="3" t="s">
        <v>201</v>
      </c>
      <c r="C46" s="3" t="s">
        <v>192</v>
      </c>
      <c r="D46" s="25">
        <v>0</v>
      </c>
      <c r="E46" s="1" t="s">
        <v>202</v>
      </c>
      <c r="F46" s="1" t="s">
        <v>103</v>
      </c>
      <c r="G46" s="1">
        <v>2</v>
      </c>
      <c r="H46" s="1"/>
      <c r="I46" s="1"/>
      <c r="J46" s="1"/>
    </row>
    <row r="47" spans="1:10" x14ac:dyDescent="0.25">
      <c r="A47" s="7" t="s">
        <v>104</v>
      </c>
      <c r="B47" s="3" t="s">
        <v>200</v>
      </c>
      <c r="C47" s="3" t="s">
        <v>192</v>
      </c>
      <c r="D47" s="25">
        <v>0</v>
      </c>
      <c r="E47" s="1" t="s">
        <v>105</v>
      </c>
      <c r="F47" s="1" t="s">
        <v>106</v>
      </c>
      <c r="G47" s="1">
        <v>1</v>
      </c>
      <c r="H47" s="1"/>
      <c r="I47" s="1"/>
      <c r="J47" s="1"/>
    </row>
    <row r="48" spans="1:10" x14ac:dyDescent="0.25">
      <c r="A48" s="7" t="s">
        <v>107</v>
      </c>
      <c r="B48" s="3">
        <v>0</v>
      </c>
      <c r="C48" s="3" t="s">
        <v>192</v>
      </c>
      <c r="D48" s="25">
        <v>0</v>
      </c>
      <c r="E48" s="1" t="s">
        <v>108</v>
      </c>
      <c r="F48" s="1" t="s">
        <v>11</v>
      </c>
      <c r="G48" s="1">
        <v>2</v>
      </c>
      <c r="H48" s="1" t="s">
        <v>6</v>
      </c>
      <c r="I48" s="1" t="s">
        <v>109</v>
      </c>
      <c r="J48" s="1"/>
    </row>
    <row r="49" spans="1:10" x14ac:dyDescent="0.25">
      <c r="A49" s="7" t="s">
        <v>110</v>
      </c>
      <c r="B49" s="3">
        <v>75</v>
      </c>
      <c r="C49" s="18" t="s">
        <v>205</v>
      </c>
      <c r="D49" s="25">
        <v>3.5</v>
      </c>
      <c r="E49" s="1" t="s">
        <v>111</v>
      </c>
      <c r="F49" s="1" t="s">
        <v>11</v>
      </c>
      <c r="G49" s="1">
        <v>4</v>
      </c>
      <c r="H49" s="1"/>
      <c r="I49" s="1"/>
      <c r="J49" s="1"/>
    </row>
    <row r="50" spans="1:10" x14ac:dyDescent="0.25">
      <c r="A50" s="7" t="s">
        <v>112</v>
      </c>
      <c r="B50" s="3" t="s">
        <v>113</v>
      </c>
      <c r="C50" s="18" t="s">
        <v>225</v>
      </c>
      <c r="D50" s="25">
        <v>0.6</v>
      </c>
      <c r="E50" s="1" t="s">
        <v>226</v>
      </c>
      <c r="F50" s="1" t="s">
        <v>11</v>
      </c>
      <c r="G50" s="1">
        <v>1</v>
      </c>
      <c r="H50" s="1"/>
      <c r="I50" s="1"/>
      <c r="J50" s="1"/>
    </row>
    <row r="51" spans="1:10" x14ac:dyDescent="0.25">
      <c r="A51" s="7" t="s">
        <v>115</v>
      </c>
      <c r="B51" s="3" t="s">
        <v>116</v>
      </c>
      <c r="C51" s="14" t="s">
        <v>178</v>
      </c>
      <c r="D51" s="25">
        <v>2.5</v>
      </c>
      <c r="E51" s="1" t="s">
        <v>117</v>
      </c>
      <c r="F51" s="1" t="s">
        <v>11</v>
      </c>
      <c r="G51" s="1">
        <v>5</v>
      </c>
      <c r="H51" s="1"/>
      <c r="I51" s="1"/>
      <c r="J51" s="1"/>
    </row>
    <row r="52" spans="1:10" x14ac:dyDescent="0.25">
      <c r="A52" s="7" t="s">
        <v>180</v>
      </c>
      <c r="B52" s="3" t="s">
        <v>181</v>
      </c>
      <c r="C52" s="15" t="s">
        <v>182</v>
      </c>
      <c r="D52" s="25">
        <v>2.5</v>
      </c>
      <c r="E52" s="1" t="s">
        <v>119</v>
      </c>
      <c r="F52" s="1"/>
      <c r="G52" s="1"/>
      <c r="H52" s="1"/>
      <c r="I52" s="1"/>
      <c r="J52" s="1"/>
    </row>
    <row r="53" spans="1:10" ht="30" x14ac:dyDescent="0.25">
      <c r="A53" s="7" t="s">
        <v>179</v>
      </c>
      <c r="B53" s="3" t="s">
        <v>118</v>
      </c>
      <c r="C53" s="3" t="s">
        <v>192</v>
      </c>
      <c r="D53" s="25">
        <v>0</v>
      </c>
      <c r="E53" s="1" t="s">
        <v>119</v>
      </c>
      <c r="F53" s="1" t="s">
        <v>11</v>
      </c>
      <c r="G53" s="1">
        <v>12</v>
      </c>
      <c r="H53" s="1"/>
      <c r="I53" s="1"/>
      <c r="J53" s="1"/>
    </row>
    <row r="54" spans="1:10" x14ac:dyDescent="0.25">
      <c r="A54" s="7" t="s">
        <v>120</v>
      </c>
      <c r="B54" s="3">
        <v>94.2</v>
      </c>
      <c r="C54" s="18" t="s">
        <v>208</v>
      </c>
      <c r="D54" s="25">
        <v>4</v>
      </c>
      <c r="E54" s="1" t="s">
        <v>119</v>
      </c>
      <c r="F54" s="1" t="s">
        <v>11</v>
      </c>
      <c r="G54" s="1">
        <v>2</v>
      </c>
      <c r="H54" s="1"/>
      <c r="I54" s="1"/>
      <c r="J54" s="1"/>
    </row>
    <row r="55" spans="1:10" x14ac:dyDescent="0.25">
      <c r="A55" s="7" t="s">
        <v>121</v>
      </c>
      <c r="B55" s="3" t="s">
        <v>122</v>
      </c>
      <c r="C55" s="3" t="s">
        <v>192</v>
      </c>
      <c r="D55" s="25">
        <v>0</v>
      </c>
      <c r="E55" s="1" t="s">
        <v>119</v>
      </c>
      <c r="F55" s="1" t="s">
        <v>11</v>
      </c>
      <c r="G55" s="1">
        <v>4</v>
      </c>
      <c r="H55" s="1"/>
      <c r="I55" s="1"/>
      <c r="J55" s="1"/>
    </row>
    <row r="56" spans="1:10" x14ac:dyDescent="0.25">
      <c r="A56" s="7" t="s">
        <v>123</v>
      </c>
      <c r="B56" s="3" t="s">
        <v>124</v>
      </c>
      <c r="C56" s="3" t="s">
        <v>192</v>
      </c>
      <c r="D56" s="25">
        <v>0</v>
      </c>
      <c r="E56" s="1" t="s">
        <v>119</v>
      </c>
      <c r="F56" s="1" t="s">
        <v>11</v>
      </c>
      <c r="G56" s="1">
        <v>2</v>
      </c>
      <c r="H56" s="1"/>
      <c r="I56" s="1"/>
      <c r="J56" s="1"/>
    </row>
    <row r="57" spans="1:10" x14ac:dyDescent="0.25">
      <c r="A57" s="7" t="s">
        <v>125</v>
      </c>
      <c r="B57" s="3">
        <v>10</v>
      </c>
      <c r="C57" s="18" t="s">
        <v>206</v>
      </c>
      <c r="D57" s="25">
        <v>2.2999999999999998</v>
      </c>
      <c r="E57" s="1" t="s">
        <v>119</v>
      </c>
      <c r="F57" s="1" t="s">
        <v>11</v>
      </c>
      <c r="G57" s="1">
        <v>2</v>
      </c>
      <c r="H57" s="1"/>
      <c r="I57" s="1"/>
      <c r="J57" s="1"/>
    </row>
    <row r="58" spans="1:10" x14ac:dyDescent="0.25">
      <c r="A58" s="7" t="s">
        <v>126</v>
      </c>
      <c r="B58" s="3">
        <v>680</v>
      </c>
      <c r="C58" s="3" t="s">
        <v>192</v>
      </c>
      <c r="D58" s="25">
        <v>0</v>
      </c>
      <c r="E58" s="1" t="s">
        <v>119</v>
      </c>
      <c r="F58" s="1" t="s">
        <v>11</v>
      </c>
      <c r="G58" s="1">
        <v>6</v>
      </c>
      <c r="H58" s="1"/>
      <c r="I58" s="1"/>
      <c r="J58" s="1"/>
    </row>
    <row r="59" spans="1:10" x14ac:dyDescent="0.25">
      <c r="A59" s="7" t="s">
        <v>127</v>
      </c>
      <c r="B59" s="3" t="s">
        <v>128</v>
      </c>
      <c r="C59" s="18" t="s">
        <v>207</v>
      </c>
      <c r="D59" s="25">
        <v>0.6</v>
      </c>
      <c r="E59" s="1" t="s">
        <v>10</v>
      </c>
      <c r="F59" s="1" t="s">
        <v>11</v>
      </c>
      <c r="G59" s="1">
        <v>1</v>
      </c>
      <c r="H59" s="1"/>
      <c r="I59" s="1"/>
      <c r="J59" s="1"/>
    </row>
    <row r="60" spans="1:10" x14ac:dyDescent="0.25">
      <c r="A60" s="7" t="s">
        <v>129</v>
      </c>
      <c r="B60" s="3">
        <v>33</v>
      </c>
      <c r="C60" s="3" t="s">
        <v>192</v>
      </c>
      <c r="D60" s="25">
        <v>0</v>
      </c>
      <c r="E60" s="1" t="s">
        <v>119</v>
      </c>
      <c r="F60" s="1" t="s">
        <v>11</v>
      </c>
      <c r="G60" s="1">
        <v>2</v>
      </c>
      <c r="H60" s="1"/>
      <c r="I60" s="1"/>
      <c r="J60" s="1"/>
    </row>
    <row r="61" spans="1:10" ht="30" x14ac:dyDescent="0.25">
      <c r="A61" s="7" t="s">
        <v>130</v>
      </c>
      <c r="B61" s="3">
        <v>100</v>
      </c>
      <c r="C61" s="20" t="s">
        <v>209</v>
      </c>
      <c r="D61" s="25">
        <v>2</v>
      </c>
      <c r="E61" s="1" t="s">
        <v>111</v>
      </c>
      <c r="F61" s="1" t="s">
        <v>11</v>
      </c>
      <c r="G61" s="1">
        <v>17</v>
      </c>
      <c r="H61" s="1"/>
      <c r="I61" s="1"/>
      <c r="J61" s="1"/>
    </row>
    <row r="62" spans="1:10" x14ac:dyDescent="0.25">
      <c r="A62" s="7" t="s">
        <v>132</v>
      </c>
      <c r="B62" s="3" t="s">
        <v>133</v>
      </c>
      <c r="C62" s="3" t="s">
        <v>192</v>
      </c>
      <c r="D62" s="9">
        <v>0</v>
      </c>
      <c r="E62" s="1" t="s">
        <v>119</v>
      </c>
      <c r="F62" s="1" t="s">
        <v>11</v>
      </c>
      <c r="G62" s="1">
        <v>1</v>
      </c>
      <c r="H62" s="1"/>
      <c r="I62" s="1"/>
      <c r="J62" s="1"/>
    </row>
    <row r="63" spans="1:10" x14ac:dyDescent="0.25">
      <c r="A63" s="7" t="s">
        <v>196</v>
      </c>
      <c r="B63" s="3" t="s">
        <v>131</v>
      </c>
      <c r="C63" s="3" t="s">
        <v>192</v>
      </c>
      <c r="D63" s="9">
        <v>0</v>
      </c>
      <c r="E63" s="1" t="s">
        <v>119</v>
      </c>
      <c r="F63" s="1" t="s">
        <v>11</v>
      </c>
      <c r="G63" s="1">
        <v>1</v>
      </c>
      <c r="H63" s="1"/>
      <c r="I63" s="1"/>
      <c r="J63" s="1"/>
    </row>
    <row r="64" spans="1:10" x14ac:dyDescent="0.25">
      <c r="A64" s="7" t="s">
        <v>134</v>
      </c>
      <c r="B64" s="3">
        <v>0</v>
      </c>
      <c r="C64" s="3" t="s">
        <v>192</v>
      </c>
      <c r="D64" s="25">
        <v>0</v>
      </c>
      <c r="E64" s="1" t="s">
        <v>135</v>
      </c>
      <c r="F64" s="1" t="s">
        <v>11</v>
      </c>
      <c r="G64" s="1">
        <v>2</v>
      </c>
      <c r="H64" s="1" t="s">
        <v>6</v>
      </c>
      <c r="I64" s="1" t="s">
        <v>109</v>
      </c>
      <c r="J64" s="1"/>
    </row>
    <row r="65" spans="1:10" x14ac:dyDescent="0.25">
      <c r="A65" s="7" t="s">
        <v>197</v>
      </c>
      <c r="B65" s="3" t="s">
        <v>114</v>
      </c>
      <c r="C65" s="3" t="s">
        <v>192</v>
      </c>
      <c r="D65" s="25">
        <v>0</v>
      </c>
      <c r="E65" s="1" t="s">
        <v>111</v>
      </c>
      <c r="F65" s="1" t="s">
        <v>11</v>
      </c>
      <c r="G65" s="1">
        <v>2</v>
      </c>
      <c r="H65" s="1"/>
      <c r="I65" s="1"/>
      <c r="J65" s="1"/>
    </row>
    <row r="66" spans="1:10" x14ac:dyDescent="0.25">
      <c r="A66" s="7" t="s">
        <v>204</v>
      </c>
      <c r="B66" s="3">
        <v>150</v>
      </c>
      <c r="C66" s="3" t="s">
        <v>192</v>
      </c>
      <c r="D66" s="25">
        <v>0</v>
      </c>
      <c r="E66" s="1" t="s">
        <v>119</v>
      </c>
      <c r="F66" s="1" t="s">
        <v>11</v>
      </c>
      <c r="G66" s="1">
        <v>2</v>
      </c>
      <c r="H66" s="1"/>
      <c r="I66" s="1"/>
      <c r="J66" s="1"/>
    </row>
    <row r="67" spans="1:10" x14ac:dyDescent="0.25">
      <c r="A67" s="7" t="s">
        <v>136</v>
      </c>
      <c r="B67" s="3" t="s">
        <v>137</v>
      </c>
      <c r="C67" s="18" t="s">
        <v>212</v>
      </c>
      <c r="D67" s="25">
        <v>17</v>
      </c>
      <c r="E67" s="1" t="s">
        <v>224</v>
      </c>
      <c r="F67" s="1" t="s">
        <v>11</v>
      </c>
      <c r="G67" s="1">
        <v>3</v>
      </c>
      <c r="H67" s="1"/>
      <c r="I67" s="1"/>
      <c r="J67" s="1"/>
    </row>
    <row r="68" spans="1:10" x14ac:dyDescent="0.25">
      <c r="A68" s="7" t="s">
        <v>138</v>
      </c>
      <c r="B68" s="3" t="s">
        <v>139</v>
      </c>
      <c r="C68" s="13" t="s">
        <v>177</v>
      </c>
      <c r="D68" s="25">
        <v>2</v>
      </c>
      <c r="E68" s="1" t="s">
        <v>140</v>
      </c>
      <c r="F68" s="1" t="s">
        <v>11</v>
      </c>
      <c r="G68" s="1">
        <v>1</v>
      </c>
      <c r="H68" s="1"/>
      <c r="I68" s="1"/>
      <c r="J68" s="1"/>
    </row>
    <row r="69" spans="1:10" x14ac:dyDescent="0.25">
      <c r="A69" s="7" t="s">
        <v>141</v>
      </c>
      <c r="B69" s="3" t="s">
        <v>142</v>
      </c>
      <c r="C69" s="3" t="s">
        <v>192</v>
      </c>
      <c r="D69" s="25">
        <v>0</v>
      </c>
      <c r="E69" s="1" t="s">
        <v>195</v>
      </c>
      <c r="F69" s="1" t="s">
        <v>143</v>
      </c>
      <c r="G69" s="1">
        <v>1</v>
      </c>
      <c r="H69" s="1"/>
      <c r="I69" s="1"/>
      <c r="J69" s="1"/>
    </row>
    <row r="70" spans="1:10" x14ac:dyDescent="0.25">
      <c r="A70" s="7" t="s">
        <v>144</v>
      </c>
      <c r="B70" s="3" t="s">
        <v>145</v>
      </c>
      <c r="C70" s="17" t="s">
        <v>188</v>
      </c>
      <c r="D70" s="9">
        <v>10</v>
      </c>
      <c r="E70" s="1" t="s">
        <v>146</v>
      </c>
      <c r="F70" s="1" t="s">
        <v>145</v>
      </c>
      <c r="G70" s="1">
        <v>1</v>
      </c>
      <c r="H70" s="1"/>
      <c r="I70" s="1"/>
      <c r="J70" s="1"/>
    </row>
    <row r="71" spans="1:10" x14ac:dyDescent="0.25">
      <c r="A71" s="7" t="s">
        <v>147</v>
      </c>
      <c r="B71" s="3" t="s">
        <v>148</v>
      </c>
      <c r="C71" s="12" t="s">
        <v>175</v>
      </c>
      <c r="D71" s="9">
        <v>36</v>
      </c>
      <c r="E71" s="1" t="s">
        <v>149</v>
      </c>
      <c r="F71" s="1" t="s">
        <v>150</v>
      </c>
      <c r="G71" s="1">
        <v>1</v>
      </c>
      <c r="H71" s="1"/>
      <c r="I71" s="1"/>
      <c r="J71" s="1"/>
    </row>
    <row r="72" spans="1:10" x14ac:dyDescent="0.25">
      <c r="A72" s="7" t="s">
        <v>151</v>
      </c>
      <c r="B72" s="3" t="s">
        <v>152</v>
      </c>
      <c r="C72" s="16" t="s">
        <v>184</v>
      </c>
      <c r="D72" s="9">
        <v>3</v>
      </c>
      <c r="E72" s="1" t="s">
        <v>153</v>
      </c>
      <c r="F72" s="1" t="s">
        <v>152</v>
      </c>
      <c r="G72" s="1">
        <v>1</v>
      </c>
      <c r="H72" s="1"/>
      <c r="I72" s="1"/>
      <c r="J72" s="1"/>
    </row>
    <row r="73" spans="1:10" x14ac:dyDescent="0.25">
      <c r="A73" s="7" t="s">
        <v>154</v>
      </c>
      <c r="B73" s="3" t="s">
        <v>155</v>
      </c>
      <c r="C73" s="11" t="s">
        <v>174</v>
      </c>
      <c r="D73" s="9">
        <v>32</v>
      </c>
      <c r="E73" s="1" t="s">
        <v>156</v>
      </c>
      <c r="F73" s="1" t="s">
        <v>155</v>
      </c>
      <c r="G73" s="1">
        <v>1</v>
      </c>
      <c r="H73" s="1"/>
      <c r="I73" s="1"/>
      <c r="J73" s="1"/>
    </row>
    <row r="74" spans="1:10" x14ac:dyDescent="0.25">
      <c r="A74" s="7" t="s">
        <v>157</v>
      </c>
      <c r="B74" s="3" t="s">
        <v>158</v>
      </c>
      <c r="C74" s="17" t="s">
        <v>183</v>
      </c>
      <c r="D74" s="9">
        <v>3</v>
      </c>
      <c r="E74" s="1" t="s">
        <v>159</v>
      </c>
      <c r="F74" s="1" t="s">
        <v>158</v>
      </c>
      <c r="G74" s="1">
        <v>1</v>
      </c>
      <c r="H74" s="1"/>
      <c r="I74" s="1"/>
      <c r="J74" s="1"/>
    </row>
    <row r="75" spans="1:10" x14ac:dyDescent="0.25">
      <c r="A75" s="7" t="s">
        <v>160</v>
      </c>
      <c r="B75" s="3" t="s">
        <v>161</v>
      </c>
      <c r="C75" s="11" t="s">
        <v>173</v>
      </c>
      <c r="D75" s="10">
        <v>38</v>
      </c>
      <c r="E75" s="1" t="s">
        <v>162</v>
      </c>
      <c r="F75" s="1" t="s">
        <v>163</v>
      </c>
      <c r="G75" s="1">
        <v>1</v>
      </c>
      <c r="H75" s="1"/>
      <c r="I75" s="1"/>
      <c r="J75" s="1"/>
    </row>
    <row r="76" spans="1:10" x14ac:dyDescent="0.25">
      <c r="A76" s="7" t="s">
        <v>164</v>
      </c>
      <c r="B76" s="3" t="s">
        <v>165</v>
      </c>
      <c r="C76" s="16" t="s">
        <v>186</v>
      </c>
      <c r="D76" s="9">
        <v>1.5</v>
      </c>
      <c r="E76" s="1" t="s">
        <v>166</v>
      </c>
      <c r="F76" s="1" t="s">
        <v>167</v>
      </c>
      <c r="G76" s="1">
        <v>1</v>
      </c>
      <c r="H76" s="1"/>
      <c r="I76" s="1"/>
      <c r="J76" s="1"/>
    </row>
    <row r="77" spans="1:10" x14ac:dyDescent="0.25">
      <c r="A77" s="7" t="s">
        <v>168</v>
      </c>
      <c r="B77" s="3" t="s">
        <v>169</v>
      </c>
      <c r="C77" s="15" t="s">
        <v>187</v>
      </c>
      <c r="D77" s="9">
        <v>1</v>
      </c>
      <c r="E77" s="1" t="s">
        <v>170</v>
      </c>
      <c r="F77" s="1" t="s">
        <v>171</v>
      </c>
      <c r="G77" s="1">
        <v>1</v>
      </c>
      <c r="H77" s="1"/>
      <c r="I77" s="1"/>
      <c r="J77" s="1"/>
    </row>
    <row r="80" spans="1:10" x14ac:dyDescent="0.25">
      <c r="D80" s="19">
        <f>SUM(Tabela1[Price, PLN])</f>
        <v>231.8</v>
      </c>
    </row>
  </sheetData>
  <conditionalFormatting sqref="C2:C77">
    <cfRule type="containsText" dxfId="2" priority="1" operator="containsText" text="*">
      <formula>NOT(ISERROR(SEARCH("*",C2)))</formula>
    </cfRule>
  </conditionalFormatting>
  <hyperlinks>
    <hyperlink ref="C75" r:id="rId1" xr:uid="{59251AD7-412C-41DE-8CEB-9CA5DA925052}"/>
    <hyperlink ref="C73" r:id="rId2" xr:uid="{881D292D-3C23-44FE-A9D3-F520B3DC97A7}"/>
    <hyperlink ref="C71" r:id="rId3" xr:uid="{FBE9DC24-F172-455F-84D4-49EAA1F3DA8B}"/>
    <hyperlink ref="C35" r:id="rId4" xr:uid="{FC7FE74B-78BC-4CFB-A443-2D7B6F6B29B5}"/>
    <hyperlink ref="C33" r:id="rId5" xr:uid="{0179393A-3EE9-4B9E-92EF-35E95ADF76DC}"/>
    <hyperlink ref="C68" r:id="rId6" xr:uid="{CD3DDF09-D770-468D-8A01-AD9C57AB94B9}"/>
    <hyperlink ref="C51" r:id="rId7" xr:uid="{F259F8E5-A034-4F5E-BD23-BC08E69DDB75}"/>
    <hyperlink ref="C52" r:id="rId8" xr:uid="{7903C0DE-F318-45FC-86D5-CA837C7930C5}"/>
    <hyperlink ref="C74" r:id="rId9" xr:uid="{BD7291BC-6BBD-4F02-9C0E-EBA8955C9358}"/>
    <hyperlink ref="C72" r:id="rId10" xr:uid="{31E555B9-3A0F-4169-A402-8C2AE00E672C}"/>
    <hyperlink ref="C32" r:id="rId11" xr:uid="{82DA6DFD-D53E-437E-A7D4-BAF33C852241}"/>
    <hyperlink ref="C76" r:id="rId12" xr:uid="{A4A6CB82-9F58-4109-9019-9B1BF196A467}"/>
    <hyperlink ref="C77" r:id="rId13" xr:uid="{99772206-68A1-40F3-A5F6-87F0AF37D699}"/>
    <hyperlink ref="C70" r:id="rId14" xr:uid="{15C6BA38-8918-49DD-836A-79CCDB01442B}"/>
    <hyperlink ref="C29" r:id="rId15" xr:uid="{C70456FD-93EB-4C30-9310-D8930F3FA26C}"/>
    <hyperlink ref="C30" r:id="rId16" xr:uid="{F01FD75A-DC0E-4DED-B54C-D0DE7E3E48D9}"/>
    <hyperlink ref="C27" r:id="rId17" xr:uid="{94339CF7-E6EF-4766-8CDF-FD76BAFAAB85}"/>
    <hyperlink ref="C49" r:id="rId18" xr:uid="{557B649C-EE3A-4FFF-AFFB-F0224DA97EAF}"/>
    <hyperlink ref="C57" r:id="rId19" xr:uid="{0BF6E93A-ED9F-4140-B773-8332A47F972B}"/>
    <hyperlink ref="C59" r:id="rId20" xr:uid="{E7CC04B0-C2E1-43ED-8956-B32B7418DC00}"/>
    <hyperlink ref="C54" r:id="rId21" xr:uid="{7F82302E-5AA1-4B0C-BD15-63A82483D536}"/>
    <hyperlink ref="C61" r:id="rId22" xr:uid="{E182F165-4AB1-46CE-975B-C79D4279CBEE}"/>
    <hyperlink ref="C40" r:id="rId23" xr:uid="{DE442F25-27A8-4E8D-A8F0-CCE2AB3E1D45}"/>
    <hyperlink ref="C67" r:id="rId24" xr:uid="{027A1E76-6EAF-450D-A5E6-9044AD3E1B19}"/>
    <hyperlink ref="C21" r:id="rId25" display="https://www.mouser.pl/ProductDetail/Infineon-Technologies/ESD203B102ELE6327XTMA1?qs=WkdRfq4wf1OiIXUg2DJRsg%3D%3D" xr:uid="{C97F1036-31AA-4D45-B1AA-E43AC8BA7742}"/>
    <hyperlink ref="C22" r:id="rId26" xr:uid="{19976739-8F86-4ED0-9F77-6EBC5DA34386}"/>
    <hyperlink ref="C50" r:id="rId27" xr:uid="{FBEF8FD2-71AF-450E-B72F-1B2DA62D2247}"/>
    <hyperlink ref="C9" r:id="rId28" xr:uid="{42B19E3F-079A-43B3-B8BC-24E049136BA0}"/>
    <hyperlink ref="C7" r:id="rId29" display="https://www.mouser.pl/ProductDetail/Wurth-Elektronik/885342208024?qs=sGAEpiMZZMsh%252B1woXyUXj1PVPNxBwqheBcTc3A%252Bo7bk%3D" xr:uid="{8304279B-1BE7-4ACD-B05F-4A7D8EE30B15}"/>
    <hyperlink ref="C18" r:id="rId30" xr:uid="{444C67E5-E076-4901-B053-FE4F3614FB2C}"/>
    <hyperlink ref="C17" r:id="rId31" xr:uid="{693DF102-28C3-402C-98A7-1A7416085767}"/>
    <hyperlink ref="C10" r:id="rId32" display="https://www.mouser.pl/ProductDetail/Wurth-Elektronik/885392005106?qs=sGAEpiMZZMvsSlwiRhF8qrQG6leidpLjlU%252BxVbSgPOKqvB9NgTk9xw%3D%3D" xr:uid="{0149744F-5ECD-4E16-ADCA-0ADB5CB78373}"/>
    <hyperlink ref="C8" r:id="rId33" display="https://www.mouser.pl/ProductDetail/Samsung-Electro-Mechanics/CL05C220JB51PNC?qs=sGAEpiMZZMvsSlwiRhF8qgRqqbZZ6yqByaAX7RFoX58%3D" xr:uid="{1A88CE8E-11C6-4284-BCC9-C380EAF74FFC}"/>
    <hyperlink ref="C5" r:id="rId34" xr:uid="{7BF03C59-28E6-436C-9BBA-929A106B8A2B}"/>
    <hyperlink ref="C3" r:id="rId35" xr:uid="{EC285EEF-5930-43DB-8EA2-A63693659A12}"/>
    <hyperlink ref="C6" r:id="rId36" xr:uid="{EBFDD87A-AA93-41ED-9EB6-6DA5E80066C3}"/>
    <hyperlink ref="C11" r:id="rId37" xr:uid="{6D628340-B1C5-411A-A7DE-FDEAB46EFD77}"/>
    <hyperlink ref="C12" r:id="rId38" xr:uid="{DB07C0FA-5B79-47EB-9987-8EEC95E28095}"/>
    <hyperlink ref="C13" r:id="rId39" display="https://www.mouser.pl/ProductDetail/TDK/CGA3E1X7R1E105K080AC?qs=NRhsANhppD9VxGl2AsmRpw%3D%3D" xr:uid="{04CD2B7E-285D-43BF-8561-93E6C864B133}"/>
    <hyperlink ref="C14" r:id="rId40" xr:uid="{F664E1D8-5B61-4504-96B9-9442451F3EE1}"/>
    <hyperlink ref="C15" r:id="rId41" xr:uid="{B8A1A778-D9F8-4FBB-9EFF-9C6D469D8039}"/>
  </hyperlinks>
  <pageMargins left="0.7" right="0.7" top="0.75" bottom="0.75" header="0.3" footer="0.3"/>
  <drawing r:id="rId42"/>
  <tableParts count="1">
    <tablePart r:id="rId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2C6D-0CE7-4CDE-8244-AE739D9B3831}">
  <dimension ref="A2:I87"/>
  <sheetViews>
    <sheetView topLeftCell="A29" workbookViewId="0">
      <selection activeCell="F71" sqref="F71"/>
    </sheetView>
  </sheetViews>
  <sheetFormatPr defaultRowHeight="15" x14ac:dyDescent="0.25"/>
  <cols>
    <col min="1" max="1" width="34.42578125" customWidth="1"/>
    <col min="3" max="3" width="33" customWidth="1"/>
    <col min="4" max="4" width="33.7109375" customWidth="1"/>
    <col min="5" max="5" width="18.42578125" style="3" customWidth="1"/>
    <col min="6" max="6" width="99.28515625" customWidth="1"/>
    <col min="7" max="7" width="61" customWidth="1"/>
    <col min="8" max="8" width="9.140625" customWidth="1"/>
  </cols>
  <sheetData>
    <row r="2" spans="1:9" x14ac:dyDescent="0.25">
      <c r="A2" s="5" t="s">
        <v>241</v>
      </c>
      <c r="B2" s="5" t="s">
        <v>242</v>
      </c>
      <c r="C2" s="5" t="s">
        <v>1</v>
      </c>
      <c r="D2" s="5" t="s">
        <v>2</v>
      </c>
      <c r="E2" s="2" t="s">
        <v>172</v>
      </c>
      <c r="F2" s="5" t="s">
        <v>3</v>
      </c>
      <c r="G2" s="5" t="s">
        <v>243</v>
      </c>
    </row>
    <row r="3" spans="1:9" ht="45" x14ac:dyDescent="0.25">
      <c r="A3" s="30" t="s">
        <v>304</v>
      </c>
      <c r="B3" s="3">
        <v>18</v>
      </c>
      <c r="C3" s="3" t="s">
        <v>9</v>
      </c>
      <c r="D3" s="3" t="s">
        <v>192</v>
      </c>
      <c r="E3" s="27">
        <v>0</v>
      </c>
      <c r="F3" s="24" t="s">
        <v>10</v>
      </c>
      <c r="G3" s="24" t="s">
        <v>244</v>
      </c>
    </row>
    <row r="4" spans="1:9" x14ac:dyDescent="0.25">
      <c r="A4" s="30" t="s">
        <v>305</v>
      </c>
      <c r="B4" s="3">
        <v>4</v>
      </c>
      <c r="C4" s="3" t="s">
        <v>9</v>
      </c>
      <c r="D4" s="18" t="s">
        <v>235</v>
      </c>
      <c r="E4" s="27">
        <v>2</v>
      </c>
      <c r="F4" s="24" t="s">
        <v>10</v>
      </c>
      <c r="G4" s="24"/>
    </row>
    <row r="5" spans="1:9" x14ac:dyDescent="0.25">
      <c r="A5" s="30" t="s">
        <v>12</v>
      </c>
      <c r="B5" s="3">
        <v>1</v>
      </c>
      <c r="C5" s="3" t="s">
        <v>13</v>
      </c>
      <c r="D5" s="3" t="s">
        <v>192</v>
      </c>
      <c r="E5" s="27">
        <v>0</v>
      </c>
      <c r="F5" s="24" t="s">
        <v>203</v>
      </c>
      <c r="G5" s="24" t="s">
        <v>245</v>
      </c>
    </row>
    <row r="6" spans="1:9" x14ac:dyDescent="0.25">
      <c r="A6" s="30" t="s">
        <v>246</v>
      </c>
      <c r="B6" s="3">
        <v>2</v>
      </c>
      <c r="C6" s="3" t="s">
        <v>17</v>
      </c>
      <c r="D6" s="18">
        <v>885342208024</v>
      </c>
      <c r="E6" s="27">
        <v>1.5</v>
      </c>
      <c r="F6" s="24" t="s">
        <v>14</v>
      </c>
      <c r="G6" s="24" t="s">
        <v>244</v>
      </c>
    </row>
    <row r="7" spans="1:9" x14ac:dyDescent="0.25">
      <c r="A7" s="30" t="s">
        <v>18</v>
      </c>
      <c r="B7" s="3">
        <v>1</v>
      </c>
      <c r="C7" s="3" t="s">
        <v>19</v>
      </c>
      <c r="D7" s="22" t="s">
        <v>316</v>
      </c>
      <c r="E7" s="27">
        <v>1.9</v>
      </c>
      <c r="F7" s="24" t="s">
        <v>20</v>
      </c>
      <c r="G7" s="24" t="s">
        <v>244</v>
      </c>
      <c r="H7" s="5"/>
      <c r="I7" s="5"/>
    </row>
    <row r="8" spans="1:9" x14ac:dyDescent="0.25">
      <c r="A8" s="30" t="s">
        <v>21</v>
      </c>
      <c r="B8" s="3">
        <v>1</v>
      </c>
      <c r="C8" s="3" t="s">
        <v>22</v>
      </c>
      <c r="D8" s="18" t="s">
        <v>227</v>
      </c>
      <c r="E8" s="27">
        <v>1.7</v>
      </c>
      <c r="F8" s="24" t="s">
        <v>228</v>
      </c>
      <c r="G8" s="24" t="s">
        <v>244</v>
      </c>
    </row>
    <row r="9" spans="1:9" x14ac:dyDescent="0.25">
      <c r="A9" s="30" t="s">
        <v>247</v>
      </c>
      <c r="B9" s="3">
        <v>4</v>
      </c>
      <c r="C9" s="3" t="s">
        <v>24</v>
      </c>
      <c r="D9" s="18">
        <v>885392005106</v>
      </c>
      <c r="E9" s="27">
        <v>2.5</v>
      </c>
      <c r="F9" s="24" t="s">
        <v>20</v>
      </c>
      <c r="G9" s="24" t="s">
        <v>244</v>
      </c>
    </row>
    <row r="10" spans="1:9" x14ac:dyDescent="0.25">
      <c r="A10" s="30" t="s">
        <v>25</v>
      </c>
      <c r="B10" s="3">
        <v>1</v>
      </c>
      <c r="C10" s="3" t="s">
        <v>26</v>
      </c>
      <c r="D10" s="18" t="s">
        <v>237</v>
      </c>
      <c r="E10" s="27">
        <v>1.5</v>
      </c>
      <c r="F10" s="24" t="s">
        <v>10</v>
      </c>
      <c r="G10" s="24" t="s">
        <v>244</v>
      </c>
    </row>
    <row r="11" spans="1:9" x14ac:dyDescent="0.25">
      <c r="A11" s="30" t="s">
        <v>248</v>
      </c>
      <c r="B11" s="3">
        <v>2</v>
      </c>
      <c r="C11" s="3" t="s">
        <v>9</v>
      </c>
      <c r="D11" s="18" t="s">
        <v>238</v>
      </c>
      <c r="E11" s="27">
        <v>5</v>
      </c>
      <c r="F11" s="24" t="s">
        <v>14</v>
      </c>
      <c r="G11" s="24" t="s">
        <v>244</v>
      </c>
    </row>
    <row r="12" spans="1:9" x14ac:dyDescent="0.25">
      <c r="A12" s="30" t="s">
        <v>324</v>
      </c>
      <c r="B12" s="3">
        <v>5</v>
      </c>
      <c r="C12" s="3" t="s">
        <v>15</v>
      </c>
      <c r="D12" s="18" t="s">
        <v>236</v>
      </c>
      <c r="E12" s="27">
        <v>6</v>
      </c>
      <c r="F12" s="24" t="s">
        <v>14</v>
      </c>
      <c r="G12" s="24" t="s">
        <v>245</v>
      </c>
    </row>
    <row r="13" spans="1:9" x14ac:dyDescent="0.25">
      <c r="A13" s="30" t="s">
        <v>249</v>
      </c>
      <c r="B13" s="3">
        <v>1</v>
      </c>
      <c r="C13" s="3" t="s">
        <v>215</v>
      </c>
      <c r="D13" s="18" t="s">
        <v>232</v>
      </c>
      <c r="E13" s="27">
        <v>5</v>
      </c>
      <c r="F13" s="24" t="s">
        <v>14</v>
      </c>
      <c r="G13" s="24" t="s">
        <v>250</v>
      </c>
    </row>
    <row r="14" spans="1:9" x14ac:dyDescent="0.25">
      <c r="A14" s="30" t="s">
        <v>251</v>
      </c>
      <c r="B14" s="3">
        <v>2</v>
      </c>
      <c r="C14" s="3" t="s">
        <v>15</v>
      </c>
      <c r="D14" s="22" t="s">
        <v>307</v>
      </c>
      <c r="E14" s="28">
        <v>3.6</v>
      </c>
      <c r="F14" s="24" t="s">
        <v>10</v>
      </c>
      <c r="G14" s="24" t="s">
        <v>244</v>
      </c>
    </row>
    <row r="15" spans="1:9" x14ac:dyDescent="0.25">
      <c r="A15" s="30" t="s">
        <v>252</v>
      </c>
      <c r="B15" s="3">
        <v>4</v>
      </c>
      <c r="C15" s="3" t="s">
        <v>30</v>
      </c>
      <c r="D15" s="18" t="s">
        <v>239</v>
      </c>
      <c r="E15" s="28">
        <v>5</v>
      </c>
      <c r="F15" s="24" t="s">
        <v>14</v>
      </c>
      <c r="G15" s="24" t="s">
        <v>250</v>
      </c>
    </row>
    <row r="16" spans="1:9" x14ac:dyDescent="0.25">
      <c r="A16" s="30" t="s">
        <v>253</v>
      </c>
      <c r="B16" s="3">
        <v>3</v>
      </c>
      <c r="C16" s="3" t="s">
        <v>30</v>
      </c>
      <c r="D16" s="18" t="s">
        <v>317</v>
      </c>
      <c r="E16" s="28">
        <v>1</v>
      </c>
      <c r="F16" s="24" t="s">
        <v>10</v>
      </c>
      <c r="G16" s="24" t="s">
        <v>244</v>
      </c>
    </row>
    <row r="17" spans="1:7" x14ac:dyDescent="0.25">
      <c r="A17" s="30" t="s">
        <v>254</v>
      </c>
      <c r="B17" s="3">
        <v>4</v>
      </c>
      <c r="C17" s="3" t="s">
        <v>32</v>
      </c>
      <c r="D17" s="3" t="s">
        <v>192</v>
      </c>
      <c r="E17" s="28">
        <v>0</v>
      </c>
      <c r="F17" s="24" t="s">
        <v>10</v>
      </c>
      <c r="G17" s="24" t="s">
        <v>245</v>
      </c>
    </row>
    <row r="18" spans="1:7" x14ac:dyDescent="0.25">
      <c r="A18" s="30" t="s">
        <v>255</v>
      </c>
      <c r="B18" s="3">
        <v>3</v>
      </c>
      <c r="C18" s="3" t="s">
        <v>9</v>
      </c>
      <c r="D18" s="18" t="s">
        <v>312</v>
      </c>
      <c r="E18" s="28">
        <v>1</v>
      </c>
      <c r="F18" s="24" t="s">
        <v>256</v>
      </c>
      <c r="G18" s="24" t="s">
        <v>244</v>
      </c>
    </row>
    <row r="19" spans="1:7" x14ac:dyDescent="0.25">
      <c r="A19" s="30" t="s">
        <v>33</v>
      </c>
      <c r="B19" s="3">
        <v>1</v>
      </c>
      <c r="C19" s="3" t="s">
        <v>34</v>
      </c>
      <c r="D19" s="23" t="s">
        <v>231</v>
      </c>
      <c r="E19" s="28">
        <v>2</v>
      </c>
      <c r="F19" s="24" t="s">
        <v>256</v>
      </c>
      <c r="G19" s="24" t="s">
        <v>244</v>
      </c>
    </row>
    <row r="20" spans="1:7" x14ac:dyDescent="0.25">
      <c r="A20" s="30" t="s">
        <v>257</v>
      </c>
      <c r="B20" s="3">
        <v>2</v>
      </c>
      <c r="C20" s="3" t="s">
        <v>36</v>
      </c>
      <c r="D20" s="18" t="s">
        <v>230</v>
      </c>
      <c r="E20" s="28">
        <v>2</v>
      </c>
      <c r="F20" s="24" t="s">
        <v>229</v>
      </c>
      <c r="G20" s="24" t="s">
        <v>244</v>
      </c>
    </row>
    <row r="21" spans="1:7" x14ac:dyDescent="0.25">
      <c r="A21" s="30" t="s">
        <v>37</v>
      </c>
      <c r="B21" s="3">
        <v>1</v>
      </c>
      <c r="C21" s="3" t="s">
        <v>38</v>
      </c>
      <c r="D21" s="3" t="s">
        <v>192</v>
      </c>
      <c r="E21" s="28">
        <v>0</v>
      </c>
      <c r="F21" s="24" t="s">
        <v>39</v>
      </c>
      <c r="G21" s="24" t="s">
        <v>258</v>
      </c>
    </row>
    <row r="22" spans="1:7" x14ac:dyDescent="0.25">
      <c r="A22" s="30" t="s">
        <v>40</v>
      </c>
      <c r="B22" s="3">
        <v>1</v>
      </c>
      <c r="C22" s="3" t="s">
        <v>41</v>
      </c>
      <c r="D22" s="3" t="s">
        <v>192</v>
      </c>
      <c r="E22" s="28">
        <v>0</v>
      </c>
      <c r="F22" s="24" t="s">
        <v>39</v>
      </c>
      <c r="G22" s="24" t="s">
        <v>258</v>
      </c>
    </row>
    <row r="23" spans="1:7" x14ac:dyDescent="0.25">
      <c r="A23" s="30" t="s">
        <v>259</v>
      </c>
      <c r="B23" s="3">
        <v>1</v>
      </c>
      <c r="C23" s="3" t="s">
        <v>42</v>
      </c>
      <c r="D23" s="22" t="s">
        <v>308</v>
      </c>
      <c r="E23" s="28">
        <v>1.5</v>
      </c>
      <c r="F23" s="24" t="s">
        <v>222</v>
      </c>
      <c r="G23" s="24" t="s">
        <v>260</v>
      </c>
    </row>
    <row r="24" spans="1:7" x14ac:dyDescent="0.25">
      <c r="A24" s="30" t="s">
        <v>261</v>
      </c>
      <c r="B24" s="3">
        <v>1</v>
      </c>
      <c r="C24" s="3" t="s">
        <v>42</v>
      </c>
      <c r="D24" s="23" t="s">
        <v>221</v>
      </c>
      <c r="E24" s="28">
        <v>1</v>
      </c>
      <c r="F24" s="24" t="s">
        <v>223</v>
      </c>
      <c r="G24" s="24" t="s">
        <v>260</v>
      </c>
    </row>
    <row r="25" spans="1:7" x14ac:dyDescent="0.25">
      <c r="A25" s="30" t="s">
        <v>43</v>
      </c>
      <c r="B25" s="3">
        <v>1</v>
      </c>
      <c r="C25" s="3" t="s">
        <v>44</v>
      </c>
      <c r="D25" s="3" t="s">
        <v>192</v>
      </c>
      <c r="E25" s="28">
        <v>0</v>
      </c>
      <c r="F25" s="24" t="s">
        <v>39</v>
      </c>
      <c r="G25" s="24" t="s">
        <v>258</v>
      </c>
    </row>
    <row r="26" spans="1:7" x14ac:dyDescent="0.25">
      <c r="A26" s="30" t="s">
        <v>45</v>
      </c>
      <c r="B26" s="3">
        <v>1</v>
      </c>
      <c r="C26" s="3" t="s">
        <v>46</v>
      </c>
      <c r="D26" s="3" t="s">
        <v>192</v>
      </c>
      <c r="E26" s="28">
        <v>0</v>
      </c>
      <c r="F26" s="24" t="s">
        <v>39</v>
      </c>
      <c r="G26" s="24" t="s">
        <v>258</v>
      </c>
    </row>
    <row r="27" spans="1:7" x14ac:dyDescent="0.25">
      <c r="A27" s="30" t="s">
        <v>47</v>
      </c>
      <c r="B27" s="3">
        <v>1</v>
      </c>
      <c r="C27" s="3" t="s">
        <v>48</v>
      </c>
      <c r="D27" s="3" t="s">
        <v>192</v>
      </c>
      <c r="E27" s="28">
        <v>0</v>
      </c>
      <c r="F27" s="24" t="s">
        <v>39</v>
      </c>
      <c r="G27" s="24" t="s">
        <v>258</v>
      </c>
    </row>
    <row r="28" spans="1:7" x14ac:dyDescent="0.25">
      <c r="A28" s="30" t="s">
        <v>49</v>
      </c>
      <c r="B28" s="3">
        <v>1</v>
      </c>
      <c r="C28" s="3" t="s">
        <v>50</v>
      </c>
      <c r="D28" s="3" t="s">
        <v>192</v>
      </c>
      <c r="E28" s="28">
        <v>0</v>
      </c>
      <c r="F28" s="24" t="s">
        <v>39</v>
      </c>
      <c r="G28" s="24" t="s">
        <v>258</v>
      </c>
    </row>
    <row r="29" spans="1:7" x14ac:dyDescent="0.25">
      <c r="A29" s="30" t="s">
        <v>262</v>
      </c>
      <c r="B29" s="3">
        <v>2</v>
      </c>
      <c r="C29" s="3" t="s">
        <v>52</v>
      </c>
      <c r="D29" s="13" t="s">
        <v>191</v>
      </c>
      <c r="E29" s="28">
        <v>2.5</v>
      </c>
      <c r="F29" s="24" t="s">
        <v>53</v>
      </c>
      <c r="G29" s="24" t="s">
        <v>263</v>
      </c>
    </row>
    <row r="30" spans="1:7" x14ac:dyDescent="0.25">
      <c r="A30" s="30" t="s">
        <v>264</v>
      </c>
      <c r="B30" s="3">
        <v>2</v>
      </c>
      <c r="C30" s="3" t="s">
        <v>199</v>
      </c>
      <c r="D30" s="3" t="s">
        <v>192</v>
      </c>
      <c r="E30" s="28">
        <v>0</v>
      </c>
      <c r="F30" s="24" t="s">
        <v>198</v>
      </c>
      <c r="G30" s="24" t="s">
        <v>265</v>
      </c>
    </row>
    <row r="31" spans="1:7" x14ac:dyDescent="0.25">
      <c r="A31" s="30" t="s">
        <v>56</v>
      </c>
      <c r="B31" s="3">
        <v>1</v>
      </c>
      <c r="C31" s="3" t="s">
        <v>57</v>
      </c>
      <c r="D31" s="17" t="s">
        <v>189</v>
      </c>
      <c r="E31" s="28">
        <v>8</v>
      </c>
      <c r="F31" s="24" t="s">
        <v>58</v>
      </c>
      <c r="G31" s="24" t="s">
        <v>266</v>
      </c>
    </row>
    <row r="32" spans="1:7" x14ac:dyDescent="0.25">
      <c r="A32" s="30" t="s">
        <v>60</v>
      </c>
      <c r="B32" s="3">
        <v>1</v>
      </c>
      <c r="C32" s="3" t="s">
        <v>61</v>
      </c>
      <c r="D32" s="13" t="s">
        <v>190</v>
      </c>
      <c r="E32" s="28">
        <v>1.6</v>
      </c>
      <c r="F32" s="24" t="s">
        <v>62</v>
      </c>
      <c r="G32" s="24" t="s">
        <v>267</v>
      </c>
    </row>
    <row r="33" spans="1:7" x14ac:dyDescent="0.25">
      <c r="A33" s="30" t="s">
        <v>268</v>
      </c>
      <c r="B33" s="3">
        <v>2</v>
      </c>
      <c r="C33" s="3" t="s">
        <v>201</v>
      </c>
      <c r="D33" s="3" t="s">
        <v>192</v>
      </c>
      <c r="E33" s="28">
        <v>0</v>
      </c>
      <c r="F33" s="24" t="s">
        <v>269</v>
      </c>
      <c r="G33" s="24" t="s">
        <v>270</v>
      </c>
    </row>
    <row r="34" spans="1:7" x14ac:dyDescent="0.25">
      <c r="A34" s="30" t="s">
        <v>64</v>
      </c>
      <c r="B34" s="3">
        <v>1</v>
      </c>
      <c r="C34" s="3" t="s">
        <v>65</v>
      </c>
      <c r="D34" s="3" t="s">
        <v>192</v>
      </c>
      <c r="E34" s="28">
        <v>0</v>
      </c>
      <c r="F34" s="24" t="s">
        <v>79</v>
      </c>
      <c r="G34" s="24" t="s">
        <v>271</v>
      </c>
    </row>
    <row r="35" spans="1:7" x14ac:dyDescent="0.25">
      <c r="A35" s="30" t="s">
        <v>67</v>
      </c>
      <c r="B35" s="3">
        <v>1</v>
      </c>
      <c r="C35" s="3" t="s">
        <v>68</v>
      </c>
      <c r="D35" s="16" t="s">
        <v>185</v>
      </c>
      <c r="E35" s="28">
        <v>3</v>
      </c>
      <c r="F35" s="24" t="s">
        <v>69</v>
      </c>
      <c r="G35" s="24" t="s">
        <v>272</v>
      </c>
    </row>
    <row r="36" spans="1:7" x14ac:dyDescent="0.25">
      <c r="A36" s="30" t="s">
        <v>70</v>
      </c>
      <c r="B36" s="3">
        <v>1</v>
      </c>
      <c r="C36" s="3" t="s">
        <v>71</v>
      </c>
      <c r="D36" s="13" t="s">
        <v>176</v>
      </c>
      <c r="E36" s="28">
        <v>4</v>
      </c>
      <c r="F36" s="24" t="s">
        <v>72</v>
      </c>
      <c r="G36" s="24" t="s">
        <v>273</v>
      </c>
    </row>
    <row r="37" spans="1:7" x14ac:dyDescent="0.25">
      <c r="A37" s="30" t="s">
        <v>73</v>
      </c>
      <c r="B37" s="3">
        <v>1</v>
      </c>
      <c r="C37" s="3" t="s">
        <v>74</v>
      </c>
      <c r="D37" s="3" t="s">
        <v>192</v>
      </c>
      <c r="E37" s="28">
        <v>0</v>
      </c>
      <c r="F37" s="24" t="s">
        <v>193</v>
      </c>
      <c r="G37" s="24" t="s">
        <v>274</v>
      </c>
    </row>
    <row r="38" spans="1:7" x14ac:dyDescent="0.25">
      <c r="A38" s="30" t="s">
        <v>75</v>
      </c>
      <c r="B38" s="3">
        <v>1</v>
      </c>
      <c r="C38" s="3" t="s">
        <v>76</v>
      </c>
      <c r="D38" s="13" t="s">
        <v>176</v>
      </c>
      <c r="E38" s="28">
        <v>4</v>
      </c>
      <c r="F38" s="24" t="s">
        <v>72</v>
      </c>
      <c r="G38" s="24" t="s">
        <v>273</v>
      </c>
    </row>
    <row r="39" spans="1:7" x14ac:dyDescent="0.25">
      <c r="A39" s="30" t="s">
        <v>77</v>
      </c>
      <c r="B39" s="3">
        <v>1</v>
      </c>
      <c r="C39" s="3" t="s">
        <v>78</v>
      </c>
      <c r="D39" s="3" t="s">
        <v>192</v>
      </c>
      <c r="E39" s="28">
        <v>0</v>
      </c>
      <c r="F39" s="24" t="s">
        <v>79</v>
      </c>
      <c r="G39" s="24" t="s">
        <v>271</v>
      </c>
    </row>
    <row r="40" spans="1:7" x14ac:dyDescent="0.25">
      <c r="A40" s="30" t="s">
        <v>80</v>
      </c>
      <c r="B40" s="3">
        <v>1</v>
      </c>
      <c r="C40" s="3" t="s">
        <v>81</v>
      </c>
      <c r="D40" s="3" t="s">
        <v>192</v>
      </c>
      <c r="E40" s="28">
        <v>0</v>
      </c>
      <c r="F40" s="24" t="s">
        <v>194</v>
      </c>
      <c r="G40" s="24" t="s">
        <v>275</v>
      </c>
    </row>
    <row r="41" spans="1:7" x14ac:dyDescent="0.25">
      <c r="A41" s="30" t="s">
        <v>83</v>
      </c>
      <c r="B41" s="3">
        <v>1</v>
      </c>
      <c r="C41" s="3" t="s">
        <v>84</v>
      </c>
      <c r="D41" s="3" t="s">
        <v>192</v>
      </c>
      <c r="E41" s="28">
        <v>0</v>
      </c>
      <c r="F41" s="24" t="s">
        <v>79</v>
      </c>
      <c r="G41" s="24" t="s">
        <v>271</v>
      </c>
    </row>
    <row r="42" spans="1:7" x14ac:dyDescent="0.25">
      <c r="A42" s="7" t="s">
        <v>85</v>
      </c>
      <c r="B42" s="3">
        <v>1</v>
      </c>
      <c r="C42" s="3" t="s">
        <v>86</v>
      </c>
      <c r="D42" s="3" t="s">
        <v>192</v>
      </c>
      <c r="E42" s="28">
        <v>0</v>
      </c>
      <c r="F42" s="24" t="s">
        <v>87</v>
      </c>
      <c r="G42" s="24" t="s">
        <v>276</v>
      </c>
    </row>
    <row r="43" spans="1:7" x14ac:dyDescent="0.25">
      <c r="A43" s="30" t="s">
        <v>88</v>
      </c>
      <c r="B43" s="3">
        <v>1</v>
      </c>
      <c r="C43" s="3" t="s">
        <v>89</v>
      </c>
      <c r="D43" s="18" t="s">
        <v>210</v>
      </c>
      <c r="E43" s="28">
        <v>4</v>
      </c>
      <c r="F43" s="24" t="s">
        <v>211</v>
      </c>
      <c r="G43" s="24" t="s">
        <v>271</v>
      </c>
    </row>
    <row r="44" spans="1:7" x14ac:dyDescent="0.25">
      <c r="A44" s="7" t="s">
        <v>90</v>
      </c>
      <c r="B44" s="3">
        <v>1</v>
      </c>
      <c r="C44" s="3" t="s">
        <v>91</v>
      </c>
      <c r="D44" s="3" t="s">
        <v>192</v>
      </c>
      <c r="E44" s="28">
        <v>0</v>
      </c>
      <c r="F44" s="24" t="s">
        <v>92</v>
      </c>
      <c r="G44" s="24" t="s">
        <v>277</v>
      </c>
    </row>
    <row r="45" spans="1:7" x14ac:dyDescent="0.25">
      <c r="A45" s="30" t="s">
        <v>93</v>
      </c>
      <c r="B45" s="3">
        <v>1</v>
      </c>
      <c r="C45" s="3" t="s">
        <v>94</v>
      </c>
      <c r="D45" s="3" t="s">
        <v>192</v>
      </c>
      <c r="E45" s="28">
        <v>0</v>
      </c>
      <c r="F45" s="24" t="s">
        <v>193</v>
      </c>
      <c r="G45" s="24" t="s">
        <v>274</v>
      </c>
    </row>
    <row r="46" spans="1:7" x14ac:dyDescent="0.25">
      <c r="A46" s="30" t="s">
        <v>95</v>
      </c>
      <c r="B46" s="3">
        <v>1</v>
      </c>
      <c r="C46" s="3" t="s">
        <v>96</v>
      </c>
      <c r="D46" s="3" t="s">
        <v>192</v>
      </c>
      <c r="E46" s="28">
        <v>0</v>
      </c>
      <c r="F46" s="24" t="s">
        <v>193</v>
      </c>
      <c r="G46" s="24" t="s">
        <v>274</v>
      </c>
    </row>
    <row r="47" spans="1:7" x14ac:dyDescent="0.25">
      <c r="A47" s="7" t="s">
        <v>100</v>
      </c>
      <c r="B47" s="3">
        <v>1</v>
      </c>
      <c r="C47" s="3" t="s">
        <v>101</v>
      </c>
      <c r="D47" s="3" t="s">
        <v>192</v>
      </c>
      <c r="E47" s="28">
        <v>0</v>
      </c>
      <c r="F47" s="24" t="s">
        <v>99</v>
      </c>
      <c r="G47" s="24" t="s">
        <v>278</v>
      </c>
    </row>
    <row r="48" spans="1:7" x14ac:dyDescent="0.25">
      <c r="A48" s="7" t="s">
        <v>279</v>
      </c>
      <c r="B48" s="3">
        <v>1</v>
      </c>
      <c r="C48" s="3" t="s">
        <v>98</v>
      </c>
      <c r="D48" s="3" t="s">
        <v>192</v>
      </c>
      <c r="E48" s="28">
        <v>0</v>
      </c>
      <c r="F48" s="24" t="s">
        <v>99</v>
      </c>
      <c r="G48" s="24" t="s">
        <v>278</v>
      </c>
    </row>
    <row r="49" spans="1:7" x14ac:dyDescent="0.25">
      <c r="A49" s="30" t="s">
        <v>280</v>
      </c>
      <c r="B49" s="3">
        <v>1</v>
      </c>
      <c r="C49" s="3" t="s">
        <v>200</v>
      </c>
      <c r="D49" s="3" t="s">
        <v>192</v>
      </c>
      <c r="E49" s="28">
        <v>0</v>
      </c>
      <c r="F49" s="24" t="s">
        <v>281</v>
      </c>
      <c r="G49" s="24" t="s">
        <v>282</v>
      </c>
    </row>
    <row r="50" spans="1:7" x14ac:dyDescent="0.25">
      <c r="A50" s="30" t="s">
        <v>283</v>
      </c>
      <c r="B50" s="3">
        <v>4</v>
      </c>
      <c r="C50" s="3">
        <v>75</v>
      </c>
      <c r="D50" s="18" t="s">
        <v>205</v>
      </c>
      <c r="E50" s="28">
        <v>3.5</v>
      </c>
      <c r="F50" s="24" t="s">
        <v>111</v>
      </c>
      <c r="G50" s="24" t="s">
        <v>284</v>
      </c>
    </row>
    <row r="51" spans="1:7" x14ac:dyDescent="0.25">
      <c r="A51" s="30" t="s">
        <v>112</v>
      </c>
      <c r="B51" s="3">
        <v>1</v>
      </c>
      <c r="C51" s="3" t="s">
        <v>113</v>
      </c>
      <c r="D51" s="18" t="s">
        <v>225</v>
      </c>
      <c r="E51" s="28">
        <v>0.6</v>
      </c>
      <c r="F51" s="24" t="s">
        <v>226</v>
      </c>
      <c r="G51" s="24" t="s">
        <v>284</v>
      </c>
    </row>
    <row r="52" spans="1:7" x14ac:dyDescent="0.25">
      <c r="A52" s="30" t="s">
        <v>285</v>
      </c>
      <c r="B52" s="3">
        <v>6</v>
      </c>
      <c r="C52" s="3" t="s">
        <v>114</v>
      </c>
      <c r="D52" s="3" t="s">
        <v>192</v>
      </c>
      <c r="E52" s="28">
        <v>0</v>
      </c>
      <c r="F52" s="24" t="s">
        <v>111</v>
      </c>
      <c r="G52" s="24" t="s">
        <v>286</v>
      </c>
    </row>
    <row r="53" spans="1:7" x14ac:dyDescent="0.25">
      <c r="A53" s="30" t="s">
        <v>287</v>
      </c>
      <c r="B53" s="3">
        <v>5</v>
      </c>
      <c r="C53" s="3" t="s">
        <v>116</v>
      </c>
      <c r="D53" s="14" t="s">
        <v>178</v>
      </c>
      <c r="E53" s="28">
        <v>2.5</v>
      </c>
      <c r="F53" s="24" t="s">
        <v>117</v>
      </c>
      <c r="G53" s="24" t="s">
        <v>286</v>
      </c>
    </row>
    <row r="54" spans="1:7" x14ac:dyDescent="0.25">
      <c r="A54" s="30" t="s">
        <v>288</v>
      </c>
      <c r="B54" s="3">
        <v>1</v>
      </c>
      <c r="C54" s="3" t="s">
        <v>181</v>
      </c>
      <c r="D54" s="15" t="s">
        <v>182</v>
      </c>
      <c r="E54" s="28">
        <v>2.5</v>
      </c>
      <c r="F54" s="24" t="s">
        <v>119</v>
      </c>
      <c r="G54" s="24" t="s">
        <v>286</v>
      </c>
    </row>
    <row r="55" spans="1:7" x14ac:dyDescent="0.25">
      <c r="A55" s="30" t="s">
        <v>289</v>
      </c>
      <c r="B55" s="3">
        <v>2</v>
      </c>
      <c r="C55" s="3">
        <v>94.2</v>
      </c>
      <c r="D55" s="18" t="s">
        <v>208</v>
      </c>
      <c r="E55" s="28">
        <v>4</v>
      </c>
      <c r="F55" s="24" t="s">
        <v>119</v>
      </c>
      <c r="G55" s="24" t="s">
        <v>286</v>
      </c>
    </row>
    <row r="56" spans="1:7" x14ac:dyDescent="0.25">
      <c r="A56" s="30" t="s">
        <v>290</v>
      </c>
      <c r="B56" s="3">
        <v>4</v>
      </c>
      <c r="C56" s="3" t="s">
        <v>122</v>
      </c>
      <c r="D56" s="3" t="s">
        <v>192</v>
      </c>
      <c r="E56" s="28">
        <v>0</v>
      </c>
      <c r="F56" s="24" t="s">
        <v>119</v>
      </c>
      <c r="G56" s="24" t="s">
        <v>286</v>
      </c>
    </row>
    <row r="57" spans="1:7" x14ac:dyDescent="0.25">
      <c r="A57" s="30" t="s">
        <v>291</v>
      </c>
      <c r="B57" s="3">
        <v>2</v>
      </c>
      <c r="C57" s="3" t="s">
        <v>124</v>
      </c>
      <c r="D57" s="3" t="s">
        <v>192</v>
      </c>
      <c r="E57" s="28">
        <v>0</v>
      </c>
      <c r="F57" s="24" t="s">
        <v>119</v>
      </c>
      <c r="G57" s="24" t="s">
        <v>286</v>
      </c>
    </row>
    <row r="58" spans="1:7" ht="30" x14ac:dyDescent="0.25">
      <c r="A58" s="30" t="s">
        <v>292</v>
      </c>
      <c r="B58" s="3">
        <v>11</v>
      </c>
      <c r="C58" s="3" t="s">
        <v>118</v>
      </c>
      <c r="D58" s="3" t="s">
        <v>192</v>
      </c>
      <c r="E58" s="28">
        <v>0</v>
      </c>
      <c r="F58" s="24" t="s">
        <v>119</v>
      </c>
      <c r="G58" s="24" t="s">
        <v>286</v>
      </c>
    </row>
    <row r="59" spans="1:7" x14ac:dyDescent="0.25">
      <c r="A59" s="30" t="s">
        <v>293</v>
      </c>
      <c r="B59" s="3">
        <v>2</v>
      </c>
      <c r="C59" s="3">
        <v>10</v>
      </c>
      <c r="D59" s="18" t="s">
        <v>206</v>
      </c>
      <c r="E59" s="28">
        <v>2.2999999999999998</v>
      </c>
      <c r="F59" s="24" t="s">
        <v>119</v>
      </c>
      <c r="G59" s="24" t="s">
        <v>286</v>
      </c>
    </row>
    <row r="60" spans="1:7" x14ac:dyDescent="0.25">
      <c r="A60" s="30" t="s">
        <v>294</v>
      </c>
      <c r="B60" s="3">
        <v>6</v>
      </c>
      <c r="C60" s="3">
        <v>680</v>
      </c>
      <c r="D60" s="3" t="s">
        <v>192</v>
      </c>
      <c r="E60" s="28">
        <v>0</v>
      </c>
      <c r="F60" s="24" t="s">
        <v>119</v>
      </c>
      <c r="G60" s="24" t="s">
        <v>286</v>
      </c>
    </row>
    <row r="61" spans="1:7" x14ac:dyDescent="0.25">
      <c r="A61" s="30" t="s">
        <v>127</v>
      </c>
      <c r="B61" s="3">
        <v>1</v>
      </c>
      <c r="C61" s="3" t="s">
        <v>128</v>
      </c>
      <c r="D61" s="18" t="s">
        <v>207</v>
      </c>
      <c r="E61" s="28">
        <v>0.6</v>
      </c>
      <c r="F61" s="24" t="s">
        <v>10</v>
      </c>
      <c r="G61" s="24" t="s">
        <v>284</v>
      </c>
    </row>
    <row r="62" spans="1:7" x14ac:dyDescent="0.25">
      <c r="A62" s="30" t="s">
        <v>295</v>
      </c>
      <c r="B62" s="3">
        <v>2</v>
      </c>
      <c r="C62" s="3">
        <v>33</v>
      </c>
      <c r="D62" s="3" t="s">
        <v>192</v>
      </c>
      <c r="E62" s="28">
        <v>0</v>
      </c>
      <c r="F62" s="24" t="s">
        <v>119</v>
      </c>
      <c r="G62" s="24" t="s">
        <v>286</v>
      </c>
    </row>
    <row r="63" spans="1:7" ht="30" x14ac:dyDescent="0.25">
      <c r="A63" s="30" t="s">
        <v>296</v>
      </c>
      <c r="B63" s="3">
        <v>11</v>
      </c>
      <c r="C63" s="3">
        <v>56</v>
      </c>
      <c r="D63" s="22" t="s">
        <v>311</v>
      </c>
      <c r="E63" s="28">
        <v>2</v>
      </c>
      <c r="F63" s="24" t="s">
        <v>108</v>
      </c>
      <c r="G63" s="24" t="s">
        <v>284</v>
      </c>
    </row>
    <row r="64" spans="1:7" x14ac:dyDescent="0.25">
      <c r="A64" s="30" t="s">
        <v>297</v>
      </c>
      <c r="B64" s="3">
        <v>2</v>
      </c>
      <c r="C64" s="3" t="s">
        <v>131</v>
      </c>
      <c r="D64" s="22" t="s">
        <v>309</v>
      </c>
      <c r="E64" s="28">
        <v>1</v>
      </c>
      <c r="F64" s="24" t="s">
        <v>108</v>
      </c>
      <c r="G64" s="24" t="s">
        <v>284</v>
      </c>
    </row>
    <row r="65" spans="1:7" x14ac:dyDescent="0.25">
      <c r="A65" s="30" t="s">
        <v>298</v>
      </c>
      <c r="B65" s="3">
        <v>6</v>
      </c>
      <c r="C65" s="3">
        <v>100</v>
      </c>
      <c r="D65" s="22" t="s">
        <v>209</v>
      </c>
      <c r="E65" s="28">
        <v>2</v>
      </c>
      <c r="F65" s="24" t="s">
        <v>111</v>
      </c>
      <c r="G65" s="24" t="s">
        <v>284</v>
      </c>
    </row>
    <row r="66" spans="1:7" x14ac:dyDescent="0.25">
      <c r="A66" s="30" t="s">
        <v>132</v>
      </c>
      <c r="B66" s="3">
        <v>1</v>
      </c>
      <c r="C66" s="3" t="s">
        <v>133</v>
      </c>
      <c r="D66" s="18" t="s">
        <v>310</v>
      </c>
      <c r="E66" s="28">
        <v>1</v>
      </c>
      <c r="F66" s="24" t="s">
        <v>108</v>
      </c>
      <c r="G66" s="24" t="s">
        <v>284</v>
      </c>
    </row>
    <row r="67" spans="1:7" x14ac:dyDescent="0.25">
      <c r="A67" s="30" t="s">
        <v>299</v>
      </c>
      <c r="B67" s="3">
        <v>4</v>
      </c>
      <c r="C67" s="3">
        <v>150</v>
      </c>
      <c r="D67" s="3" t="s">
        <v>192</v>
      </c>
      <c r="E67" s="28">
        <v>0</v>
      </c>
      <c r="F67" s="24" t="s">
        <v>119</v>
      </c>
      <c r="G67" s="24" t="s">
        <v>286</v>
      </c>
    </row>
    <row r="68" spans="1:7" x14ac:dyDescent="0.25">
      <c r="A68" s="30" t="s">
        <v>138</v>
      </c>
      <c r="B68" s="3">
        <v>1</v>
      </c>
      <c r="C68" s="3" t="s">
        <v>139</v>
      </c>
      <c r="D68" s="13" t="s">
        <v>177</v>
      </c>
      <c r="E68" s="28">
        <v>2</v>
      </c>
      <c r="F68" s="24" t="s">
        <v>140</v>
      </c>
      <c r="G68" s="24" t="s">
        <v>286</v>
      </c>
    </row>
    <row r="69" spans="1:7" x14ac:dyDescent="0.25">
      <c r="A69" s="30" t="s">
        <v>300</v>
      </c>
      <c r="B69" s="3">
        <v>1</v>
      </c>
      <c r="C69" s="3" t="s">
        <v>142</v>
      </c>
      <c r="D69" s="3" t="s">
        <v>192</v>
      </c>
      <c r="E69" s="28">
        <v>0</v>
      </c>
      <c r="F69" s="24" t="s">
        <v>195</v>
      </c>
      <c r="G69" s="24" t="s">
        <v>301</v>
      </c>
    </row>
    <row r="70" spans="1:7" x14ac:dyDescent="0.25">
      <c r="A70" s="30" t="s">
        <v>302</v>
      </c>
      <c r="B70" s="3">
        <v>3</v>
      </c>
      <c r="C70" s="3" t="s">
        <v>137</v>
      </c>
      <c r="D70" s="18" t="s">
        <v>212</v>
      </c>
      <c r="E70" s="28">
        <v>17</v>
      </c>
      <c r="F70" s="24" t="s">
        <v>224</v>
      </c>
      <c r="G70" s="24" t="s">
        <v>303</v>
      </c>
    </row>
    <row r="71" spans="1:7" x14ac:dyDescent="0.25">
      <c r="A71" s="30" t="s">
        <v>144</v>
      </c>
      <c r="B71" s="3">
        <v>1</v>
      </c>
      <c r="C71" s="3" t="s">
        <v>145</v>
      </c>
      <c r="D71" s="17" t="s">
        <v>188</v>
      </c>
      <c r="E71" s="28">
        <v>10</v>
      </c>
      <c r="F71" s="24" t="s">
        <v>146</v>
      </c>
      <c r="G71" s="24"/>
    </row>
    <row r="72" spans="1:7" x14ac:dyDescent="0.25">
      <c r="A72" s="30" t="s">
        <v>147</v>
      </c>
      <c r="B72" s="3">
        <v>1</v>
      </c>
      <c r="C72" s="3" t="s">
        <v>148</v>
      </c>
      <c r="D72" s="12" t="s">
        <v>175</v>
      </c>
      <c r="E72" s="28">
        <v>36</v>
      </c>
      <c r="F72" s="24" t="s">
        <v>149</v>
      </c>
      <c r="G72" s="24"/>
    </row>
    <row r="73" spans="1:7" x14ac:dyDescent="0.25">
      <c r="A73" s="30" t="s">
        <v>151</v>
      </c>
      <c r="B73" s="3">
        <v>1</v>
      </c>
      <c r="C73" s="3" t="s">
        <v>152</v>
      </c>
      <c r="D73" s="16" t="s">
        <v>184</v>
      </c>
      <c r="E73" s="28">
        <v>3</v>
      </c>
      <c r="F73" s="24" t="s">
        <v>153</v>
      </c>
      <c r="G73" s="24"/>
    </row>
    <row r="74" spans="1:7" x14ac:dyDescent="0.25">
      <c r="A74" s="30" t="s">
        <v>154</v>
      </c>
      <c r="B74" s="3">
        <v>1</v>
      </c>
      <c r="C74" s="3" t="s">
        <v>155</v>
      </c>
      <c r="D74" s="11" t="s">
        <v>174</v>
      </c>
      <c r="E74" s="28">
        <v>32</v>
      </c>
      <c r="F74" s="24" t="s">
        <v>156</v>
      </c>
      <c r="G74" s="24"/>
    </row>
    <row r="75" spans="1:7" x14ac:dyDescent="0.25">
      <c r="A75" s="31" t="s">
        <v>157</v>
      </c>
      <c r="B75" s="3">
        <v>1</v>
      </c>
      <c r="C75" s="3" t="s">
        <v>158</v>
      </c>
      <c r="D75" s="17" t="s">
        <v>183</v>
      </c>
      <c r="E75" s="28">
        <v>3</v>
      </c>
      <c r="F75" s="24" t="s">
        <v>159</v>
      </c>
      <c r="G75" s="24"/>
    </row>
    <row r="76" spans="1:7" x14ac:dyDescent="0.25">
      <c r="A76" s="30" t="s">
        <v>160</v>
      </c>
      <c r="B76" s="3">
        <v>1</v>
      </c>
      <c r="C76" s="3" t="s">
        <v>161</v>
      </c>
      <c r="D76" s="11" t="s">
        <v>173</v>
      </c>
      <c r="E76" s="27">
        <v>38</v>
      </c>
      <c r="F76" s="24" t="s">
        <v>162</v>
      </c>
      <c r="G76" s="24"/>
    </row>
    <row r="77" spans="1:7" x14ac:dyDescent="0.25">
      <c r="A77" s="30" t="s">
        <v>164</v>
      </c>
      <c r="B77" s="3">
        <v>1</v>
      </c>
      <c r="C77" s="3" t="s">
        <v>165</v>
      </c>
      <c r="D77" s="16" t="s">
        <v>186</v>
      </c>
      <c r="E77" s="28">
        <v>1.5</v>
      </c>
      <c r="F77" s="24" t="s">
        <v>166</v>
      </c>
      <c r="G77" s="24"/>
    </row>
    <row r="78" spans="1:7" x14ac:dyDescent="0.25">
      <c r="A78" s="30" t="s">
        <v>168</v>
      </c>
      <c r="B78" s="3">
        <v>1</v>
      </c>
      <c r="C78" s="3" t="s">
        <v>169</v>
      </c>
      <c r="D78" s="15" t="s">
        <v>187</v>
      </c>
      <c r="E78" s="28">
        <v>1</v>
      </c>
      <c r="F78" s="24" t="s">
        <v>170</v>
      </c>
      <c r="G78" s="24"/>
    </row>
    <row r="81" spans="3:5" x14ac:dyDescent="0.25">
      <c r="E81" s="26">
        <f>SUM(Tabela3[Price, PLN])</f>
        <v>236.8</v>
      </c>
    </row>
    <row r="83" spans="3:5" x14ac:dyDescent="0.25">
      <c r="D83" s="6"/>
    </row>
    <row r="84" spans="3:5" x14ac:dyDescent="0.25">
      <c r="D84" s="6"/>
    </row>
    <row r="85" spans="3:5" x14ac:dyDescent="0.25">
      <c r="C85" s="6" t="s">
        <v>313</v>
      </c>
      <c r="D85" s="22" t="s">
        <v>314</v>
      </c>
      <c r="E85" s="29" t="s">
        <v>315</v>
      </c>
    </row>
    <row r="86" spans="3:5" x14ac:dyDescent="0.25">
      <c r="C86" s="6"/>
      <c r="D86" s="6"/>
    </row>
    <row r="87" spans="3:5" x14ac:dyDescent="0.25">
      <c r="D87" s="6"/>
    </row>
  </sheetData>
  <conditionalFormatting sqref="D3:D78">
    <cfRule type="containsText" dxfId="1" priority="1" operator="containsText" text="*">
      <formula>NOT(ISERROR(SEARCH("*",D3)))</formula>
    </cfRule>
  </conditionalFormatting>
  <hyperlinks>
    <hyperlink ref="D4" r:id="rId1" xr:uid="{09FFE292-DAD9-4B5A-8148-04C5DB8533B1}"/>
    <hyperlink ref="D6" r:id="rId2" display="https://www.mouser.pl/ProductDetail/Wurth-Elektronik/885342208024?qs=sGAEpiMZZMsh%252B1woXyUXj1PVPNxBwqheBcTc3A%252Bo7bk%3D" xr:uid="{7B4A4430-0635-4975-8DD8-555806B0AEE0}"/>
    <hyperlink ref="D12" r:id="rId3" xr:uid="{D38A8F62-6B2C-4C63-B5A1-8CAD4F89F060}"/>
    <hyperlink ref="D13" r:id="rId4" xr:uid="{1B040D61-1714-4468-8210-C9F5BC763135}"/>
    <hyperlink ref="D7" r:id="rId5" xr:uid="{AC76C822-DE42-43D3-B3CA-FB93BC1E4F90}"/>
    <hyperlink ref="D8" r:id="rId6" xr:uid="{3687CF46-2D60-471D-AB86-5DA3C907D7D1}"/>
    <hyperlink ref="D9" r:id="rId7" display="https://www.mouser.pl/ProductDetail/Wurth-Elektronik/885392005106?qs=sGAEpiMZZMvsSlwiRhF8qrQG6leidpLjlU%252BxVbSgPOKqvB9NgTk9xw%3D%3D" xr:uid="{AAAD2142-8CA1-4B3D-903B-E6973983EDE1}"/>
    <hyperlink ref="D10" r:id="rId8" xr:uid="{82EDB60E-5FC1-444B-A5D9-2053A17143F8}"/>
    <hyperlink ref="D11" r:id="rId9" xr:uid="{579C2812-3D1B-436E-8B80-D34A97E65348}"/>
    <hyperlink ref="D14" r:id="rId10" display="https://www.mouser.pl/ProductDetail/TDK/CGA3E1X7R1E105K080AC?qs=NRhsANhppD9VxGl2AsmRpw%3D%3D" xr:uid="{A610CA2B-3AA0-4367-9A5C-BBBF64D9FD01}"/>
    <hyperlink ref="D15" r:id="rId11" xr:uid="{E0EE1AB6-D38F-4E08-BDD1-CFA0FF3B5558}"/>
    <hyperlink ref="D16" r:id="rId12" xr:uid="{C955C4ED-2605-472E-8590-1EE0EB36ADF6}"/>
    <hyperlink ref="D19" r:id="rId13" xr:uid="{BAF106E8-ABEE-42AA-8428-D5DDCE008DD6}"/>
    <hyperlink ref="D20" r:id="rId14" xr:uid="{694D1973-A773-4890-A10F-8BEE521A5D0D}"/>
    <hyperlink ref="D23" r:id="rId15" display="https://www.mouser.pl/ProductDetail/Infineon-Technologies/ESD203B102ELE6327XTMA1?qs=WkdRfq4wf1OiIXUg2DJRsg%3D%3D" xr:uid="{444CA96E-96AA-48A4-9797-F211722A131A}"/>
    <hyperlink ref="D24" r:id="rId16" xr:uid="{1D1789C6-083C-4577-A697-355228BB56B3}"/>
    <hyperlink ref="D29" r:id="rId17" xr:uid="{C079A4E5-91C7-41E0-85EB-3B6ECC7200D3}"/>
    <hyperlink ref="D31" r:id="rId18" xr:uid="{42147301-4D05-4FC4-9B3E-95A303F3339B}"/>
    <hyperlink ref="D32" r:id="rId19" xr:uid="{ADF444A1-E0FC-4AA6-AB8C-F69F09826F2A}"/>
    <hyperlink ref="D38" r:id="rId20" xr:uid="{C1356795-EEC5-42BB-A15C-8ABD50AFF5BD}"/>
    <hyperlink ref="D36" r:id="rId21" xr:uid="{95D7A8DB-98C5-494A-B6E6-CDC19E6AE527}"/>
    <hyperlink ref="D35" r:id="rId22" xr:uid="{E6B84AC2-74E0-46E9-A7F0-81E8BA571455}"/>
    <hyperlink ref="D43" r:id="rId23" xr:uid="{0790B492-2A75-4DF1-B69D-FABBDFF0C587}"/>
    <hyperlink ref="D50" r:id="rId24" xr:uid="{E6E6A0D9-70D3-41EF-BB37-B60FFA67B0A3}"/>
    <hyperlink ref="D51" r:id="rId25" xr:uid="{58A99E19-5CED-4C95-88CA-4A29BAB017D7}"/>
    <hyperlink ref="D53" r:id="rId26" xr:uid="{013BECAD-7676-42D3-924C-5515CD2DB0D2}"/>
    <hyperlink ref="D54" r:id="rId27" xr:uid="{A9D64412-CC00-43A3-ADBE-ECCA3291E5EB}"/>
    <hyperlink ref="D55" r:id="rId28" xr:uid="{E5187B84-A432-4383-BCED-5CC9CD05055F}"/>
    <hyperlink ref="D59" r:id="rId29" xr:uid="{22F5C94C-46C6-4F82-84E5-9851498C14DA}"/>
    <hyperlink ref="D61" r:id="rId30" xr:uid="{1048EC0C-D8CF-4CE6-9EFF-75DC95F93145}"/>
    <hyperlink ref="D63" r:id="rId31" xr:uid="{462DAD38-AB8B-488E-8DE0-49B20EF6E5F5}"/>
    <hyperlink ref="D65" r:id="rId32" xr:uid="{F15FD3E1-BB64-417C-9253-AC59558E6DB9}"/>
    <hyperlink ref="D68" r:id="rId33" xr:uid="{A0C7331A-21CF-4740-AB47-FCA14A8287E3}"/>
    <hyperlink ref="D70" r:id="rId34" xr:uid="{3303D2AD-F386-4C34-A30C-C85F1055A032}"/>
    <hyperlink ref="D76" r:id="rId35" xr:uid="{69B055CC-B9CB-42E4-BD17-E267CE65FC0E}"/>
    <hyperlink ref="D74" r:id="rId36" xr:uid="{2E9468E1-EBEC-45D9-98E7-4B342E53C4A3}"/>
    <hyperlink ref="D72" r:id="rId37" xr:uid="{F1D45E1C-E3D5-4BC8-BA18-5C64683F6C2C}"/>
    <hyperlink ref="D75" r:id="rId38" xr:uid="{1148A0BF-6566-48FC-81C2-A2765CE2B73F}"/>
    <hyperlink ref="D73" r:id="rId39" xr:uid="{DFA432EC-2B7A-4383-ADC1-30100EC427D3}"/>
    <hyperlink ref="D77" r:id="rId40" xr:uid="{322930BF-178A-4DF3-93A8-A25ECA1551C2}"/>
    <hyperlink ref="D78" r:id="rId41" xr:uid="{C6C33F28-B459-407D-9CA1-75CE8B76C19F}"/>
    <hyperlink ref="D71" r:id="rId42" xr:uid="{AA127165-021D-4A27-82EA-007E9159FDD3}"/>
    <hyperlink ref="D64" r:id="rId43" xr:uid="{69E338A0-F1E5-42E2-9774-A086EBF1EBC8}"/>
    <hyperlink ref="D66" r:id="rId44" xr:uid="{37664AD7-9B1A-4EC6-8099-97015A1F3D5C}"/>
    <hyperlink ref="D18" r:id="rId45" xr:uid="{CA704438-A55E-4016-877A-490E99C83FAD}"/>
    <hyperlink ref="D85" r:id="rId46" xr:uid="{C5785A0F-B35E-4540-B9E9-F5B0430A7FA3}"/>
  </hyperlinks>
  <pageMargins left="0.7" right="0.7" top="0.75" bottom="0.75" header="0.3" footer="0.3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DFDC-0226-44B5-BE06-3DFE8F57B74C}">
  <dimension ref="C2:I22"/>
  <sheetViews>
    <sheetView tabSelected="1" workbookViewId="0">
      <selection activeCell="E33" sqref="E33"/>
    </sheetView>
  </sheetViews>
  <sheetFormatPr defaultRowHeight="15" x14ac:dyDescent="0.25"/>
  <cols>
    <col min="3" max="3" width="50" customWidth="1"/>
    <col min="4" max="4" width="13.28515625" customWidth="1"/>
    <col min="5" max="5" width="31.28515625" customWidth="1"/>
    <col min="6" max="6" width="27.5703125" customWidth="1"/>
    <col min="7" max="7" width="13.28515625" customWidth="1"/>
    <col min="8" max="8" width="68.5703125" customWidth="1"/>
    <col min="9" max="9" width="116.140625" customWidth="1"/>
  </cols>
  <sheetData>
    <row r="2" spans="3:9" x14ac:dyDescent="0.25">
      <c r="C2" s="5" t="s">
        <v>241</v>
      </c>
      <c r="D2" s="5" t="s">
        <v>242</v>
      </c>
      <c r="E2" s="5" t="s">
        <v>1</v>
      </c>
      <c r="F2" s="5" t="s">
        <v>2</v>
      </c>
      <c r="G2" s="2" t="s">
        <v>172</v>
      </c>
      <c r="H2" s="5" t="s">
        <v>3</v>
      </c>
      <c r="I2" s="5" t="s">
        <v>243</v>
      </c>
    </row>
    <row r="3" spans="3:9" x14ac:dyDescent="0.25">
      <c r="C3" s="3" t="s">
        <v>322</v>
      </c>
      <c r="D3" s="3">
        <v>18</v>
      </c>
      <c r="E3" s="3" t="s">
        <v>9</v>
      </c>
      <c r="F3" s="3" t="s">
        <v>192</v>
      </c>
      <c r="G3" s="27">
        <v>0</v>
      </c>
      <c r="H3" s="24" t="s">
        <v>10</v>
      </c>
      <c r="I3" s="24" t="s">
        <v>244</v>
      </c>
    </row>
    <row r="4" spans="3:9" x14ac:dyDescent="0.25">
      <c r="C4" s="3" t="s">
        <v>12</v>
      </c>
      <c r="D4" s="3">
        <v>1</v>
      </c>
      <c r="E4" s="3" t="s">
        <v>13</v>
      </c>
      <c r="F4" s="3" t="s">
        <v>192</v>
      </c>
      <c r="G4" s="27">
        <v>0</v>
      </c>
      <c r="H4" s="24" t="s">
        <v>203</v>
      </c>
      <c r="I4" s="24" t="s">
        <v>245</v>
      </c>
    </row>
    <row r="5" spans="3:9" x14ac:dyDescent="0.25">
      <c r="C5" s="3" t="s">
        <v>18</v>
      </c>
      <c r="D5" s="3">
        <v>1</v>
      </c>
      <c r="E5" s="3" t="s">
        <v>19</v>
      </c>
      <c r="F5" s="22" t="s">
        <v>316</v>
      </c>
      <c r="G5" s="27">
        <v>1.9</v>
      </c>
      <c r="H5" s="24" t="s">
        <v>20</v>
      </c>
      <c r="I5" s="24" t="s">
        <v>244</v>
      </c>
    </row>
    <row r="6" spans="3:9" x14ac:dyDescent="0.25">
      <c r="C6" s="3" t="s">
        <v>247</v>
      </c>
      <c r="D6" s="3">
        <v>4</v>
      </c>
      <c r="E6" s="3" t="s">
        <v>24</v>
      </c>
      <c r="F6" s="18">
        <v>885392005106</v>
      </c>
      <c r="G6" s="27">
        <v>2.5</v>
      </c>
      <c r="H6" s="24" t="s">
        <v>20</v>
      </c>
      <c r="I6" s="24" t="s">
        <v>244</v>
      </c>
    </row>
    <row r="7" spans="3:9" x14ac:dyDescent="0.25">
      <c r="C7" s="3" t="s">
        <v>323</v>
      </c>
      <c r="D7" s="3">
        <v>5</v>
      </c>
      <c r="E7" s="3" t="s">
        <v>15</v>
      </c>
      <c r="F7" s="18" t="s">
        <v>236</v>
      </c>
      <c r="G7" s="27">
        <v>6</v>
      </c>
      <c r="H7" s="24" t="s">
        <v>14</v>
      </c>
      <c r="I7" s="24" t="s">
        <v>245</v>
      </c>
    </row>
    <row r="8" spans="3:9" x14ac:dyDescent="0.25">
      <c r="C8" s="3" t="s">
        <v>321</v>
      </c>
      <c r="D8" s="3">
        <v>4</v>
      </c>
      <c r="E8" s="3" t="s">
        <v>32</v>
      </c>
      <c r="F8" s="3" t="s">
        <v>192</v>
      </c>
      <c r="G8" s="28">
        <v>0</v>
      </c>
      <c r="H8" s="24" t="s">
        <v>10</v>
      </c>
      <c r="I8" s="24" t="s">
        <v>245</v>
      </c>
    </row>
    <row r="9" spans="3:9" x14ac:dyDescent="0.25">
      <c r="C9" s="3" t="s">
        <v>255</v>
      </c>
      <c r="D9" s="3">
        <v>3</v>
      </c>
      <c r="E9" s="3" t="s">
        <v>9</v>
      </c>
      <c r="F9" s="18" t="s">
        <v>312</v>
      </c>
      <c r="G9" s="28">
        <v>1</v>
      </c>
      <c r="H9" s="24" t="s">
        <v>256</v>
      </c>
      <c r="I9" s="24" t="s">
        <v>244</v>
      </c>
    </row>
    <row r="10" spans="3:9" x14ac:dyDescent="0.25">
      <c r="C10" s="3" t="s">
        <v>33</v>
      </c>
      <c r="D10" s="3">
        <v>1</v>
      </c>
      <c r="E10" s="3" t="s">
        <v>34</v>
      </c>
      <c r="F10" s="18" t="s">
        <v>231</v>
      </c>
      <c r="G10" s="28">
        <v>2</v>
      </c>
      <c r="H10" s="24" t="s">
        <v>256</v>
      </c>
      <c r="I10" s="24" t="s">
        <v>244</v>
      </c>
    </row>
    <row r="11" spans="3:9" x14ac:dyDescent="0.25">
      <c r="C11" s="3" t="s">
        <v>264</v>
      </c>
      <c r="D11" s="3">
        <v>2</v>
      </c>
      <c r="E11" s="3" t="s">
        <v>199</v>
      </c>
      <c r="F11" s="3" t="s">
        <v>192</v>
      </c>
      <c r="G11" s="28">
        <v>0</v>
      </c>
      <c r="H11" s="24" t="s">
        <v>198</v>
      </c>
      <c r="I11" s="24" t="s">
        <v>265</v>
      </c>
    </row>
    <row r="12" spans="3:9" x14ac:dyDescent="0.25">
      <c r="C12" s="3" t="s">
        <v>56</v>
      </c>
      <c r="D12" s="3">
        <v>1</v>
      </c>
      <c r="E12" s="3" t="s">
        <v>57</v>
      </c>
      <c r="F12" s="17" t="s">
        <v>189</v>
      </c>
      <c r="G12" s="28">
        <v>8</v>
      </c>
      <c r="H12" s="24" t="s">
        <v>58</v>
      </c>
      <c r="I12" s="24" t="s">
        <v>266</v>
      </c>
    </row>
    <row r="13" spans="3:9" x14ac:dyDescent="0.25">
      <c r="C13" s="3" t="s">
        <v>318</v>
      </c>
      <c r="D13" s="3">
        <v>6</v>
      </c>
      <c r="E13" s="3" t="s">
        <v>114</v>
      </c>
      <c r="F13" s="3" t="s">
        <v>192</v>
      </c>
      <c r="G13" s="28">
        <v>0</v>
      </c>
      <c r="H13" s="24" t="s">
        <v>111</v>
      </c>
      <c r="I13" s="24" t="s">
        <v>286</v>
      </c>
    </row>
    <row r="14" spans="3:9" x14ac:dyDescent="0.25">
      <c r="C14" s="3" t="s">
        <v>320</v>
      </c>
      <c r="D14" s="3">
        <v>11</v>
      </c>
      <c r="E14" s="3" t="s">
        <v>118</v>
      </c>
      <c r="F14" s="3" t="s">
        <v>192</v>
      </c>
      <c r="G14" s="28">
        <v>0</v>
      </c>
      <c r="H14" s="24" t="s">
        <v>119</v>
      </c>
      <c r="I14" s="24" t="s">
        <v>286</v>
      </c>
    </row>
    <row r="15" spans="3:9" x14ac:dyDescent="0.25">
      <c r="C15" s="3" t="s">
        <v>127</v>
      </c>
      <c r="D15" s="3">
        <v>1</v>
      </c>
      <c r="E15" s="3" t="s">
        <v>128</v>
      </c>
      <c r="F15" s="18" t="s">
        <v>207</v>
      </c>
      <c r="G15" s="28">
        <v>0.6</v>
      </c>
      <c r="H15" s="24" t="s">
        <v>10</v>
      </c>
      <c r="I15" s="24" t="s">
        <v>284</v>
      </c>
    </row>
    <row r="16" spans="3:9" x14ac:dyDescent="0.25">
      <c r="C16" s="3" t="s">
        <v>295</v>
      </c>
      <c r="D16" s="3">
        <v>2</v>
      </c>
      <c r="E16" s="3">
        <v>33</v>
      </c>
      <c r="F16" s="3" t="s">
        <v>192</v>
      </c>
      <c r="G16" s="28">
        <v>0</v>
      </c>
      <c r="H16" s="24" t="s">
        <v>119</v>
      </c>
      <c r="I16" s="24" t="s">
        <v>286</v>
      </c>
    </row>
    <row r="17" spans="3:9" x14ac:dyDescent="0.25">
      <c r="C17" s="3" t="s">
        <v>296</v>
      </c>
      <c r="D17" s="3">
        <v>11</v>
      </c>
      <c r="E17" s="3">
        <v>56</v>
      </c>
      <c r="F17" s="22" t="s">
        <v>311</v>
      </c>
      <c r="G17" s="28">
        <v>2</v>
      </c>
      <c r="H17" s="24" t="s">
        <v>108</v>
      </c>
      <c r="I17" s="24" t="s">
        <v>284</v>
      </c>
    </row>
    <row r="18" spans="3:9" x14ac:dyDescent="0.25">
      <c r="C18" s="3" t="s">
        <v>319</v>
      </c>
      <c r="D18" s="3">
        <v>2</v>
      </c>
      <c r="E18" s="3" t="s">
        <v>131</v>
      </c>
      <c r="F18" s="22" t="s">
        <v>309</v>
      </c>
      <c r="G18" s="28">
        <v>1</v>
      </c>
      <c r="H18" s="24" t="s">
        <v>108</v>
      </c>
      <c r="I18" s="24" t="s">
        <v>284</v>
      </c>
    </row>
    <row r="19" spans="3:9" x14ac:dyDescent="0.25">
      <c r="C19" s="3" t="s">
        <v>298</v>
      </c>
      <c r="D19" s="3">
        <v>6</v>
      </c>
      <c r="E19" s="3">
        <v>100</v>
      </c>
      <c r="F19" s="22" t="s">
        <v>209</v>
      </c>
      <c r="G19" s="28">
        <v>2</v>
      </c>
      <c r="H19" s="24" t="s">
        <v>111</v>
      </c>
      <c r="I19" s="24" t="s">
        <v>284</v>
      </c>
    </row>
    <row r="20" spans="3:9" x14ac:dyDescent="0.25">
      <c r="C20" s="3" t="s">
        <v>147</v>
      </c>
      <c r="D20" s="3">
        <v>1</v>
      </c>
      <c r="E20" s="3" t="s">
        <v>148</v>
      </c>
      <c r="F20" s="12" t="s">
        <v>175</v>
      </c>
      <c r="G20" s="28">
        <v>36</v>
      </c>
      <c r="H20" s="24" t="s">
        <v>149</v>
      </c>
      <c r="I20" s="24"/>
    </row>
    <row r="21" spans="3:9" x14ac:dyDescent="0.25">
      <c r="C21" s="3" t="s">
        <v>151</v>
      </c>
      <c r="D21" s="3">
        <v>1</v>
      </c>
      <c r="E21" s="3" t="s">
        <v>152</v>
      </c>
      <c r="F21" s="16" t="s">
        <v>184</v>
      </c>
      <c r="G21" s="28">
        <v>3</v>
      </c>
      <c r="H21" s="24" t="s">
        <v>153</v>
      </c>
      <c r="I21" s="24"/>
    </row>
    <row r="22" spans="3:9" x14ac:dyDescent="0.25">
      <c r="C22" s="3" t="s">
        <v>168</v>
      </c>
      <c r="D22" s="3">
        <v>1</v>
      </c>
      <c r="E22" s="3" t="s">
        <v>169</v>
      </c>
      <c r="F22" s="15" t="s">
        <v>187</v>
      </c>
      <c r="G22" s="28">
        <v>1</v>
      </c>
      <c r="H22" s="24" t="s">
        <v>170</v>
      </c>
      <c r="I22" s="24"/>
    </row>
  </sheetData>
  <conditionalFormatting sqref="F3:F22">
    <cfRule type="containsText" dxfId="0" priority="1" operator="containsText" text="*">
      <formula>NOT(ISERROR(SEARCH("*",F3)))</formula>
    </cfRule>
  </conditionalFormatting>
  <hyperlinks>
    <hyperlink ref="F7" r:id="rId1" xr:uid="{04BF2FA1-80A7-4AAC-A1D7-617A37BD44A4}"/>
    <hyperlink ref="F5" r:id="rId2" xr:uid="{D4409876-0DFE-4AAF-8FFF-94794FFF89F0}"/>
    <hyperlink ref="F6" r:id="rId3" display="https://www.mouser.pl/ProductDetail/Wurth-Elektronik/885392005106?qs=sGAEpiMZZMvsSlwiRhF8qrQG6leidpLjlU%252BxVbSgPOKqvB9NgTk9xw%3D%3D" xr:uid="{F0380C00-8CB0-477E-B328-97E6B26D1786}"/>
    <hyperlink ref="F10" r:id="rId4" xr:uid="{3E8DDF18-633D-4BE7-886E-D9FFAABA37C5}"/>
    <hyperlink ref="F12" r:id="rId5" xr:uid="{A8FFFA18-68E2-4277-88A9-84402657D80F}"/>
    <hyperlink ref="F15" r:id="rId6" xr:uid="{A04FA916-33E6-4194-BCB2-00DE233CD54D}"/>
    <hyperlink ref="F17" r:id="rId7" xr:uid="{0BCD50C9-BBFD-40EC-B2B0-DD10F9147387}"/>
    <hyperlink ref="F19" r:id="rId8" xr:uid="{F171B45A-0279-4C22-90EC-76793E364B0D}"/>
    <hyperlink ref="F20" r:id="rId9" xr:uid="{01251E6D-6DC0-4ECA-8F4E-B2875490BA26}"/>
    <hyperlink ref="F21" r:id="rId10" xr:uid="{3B321166-1AFB-4017-AEB3-624FF3F6504D}"/>
    <hyperlink ref="F22" r:id="rId11" xr:uid="{810C518A-9ECE-4F7C-81DA-7BC4AF56827E}"/>
    <hyperlink ref="F18" r:id="rId12" xr:uid="{19436343-12CE-40E1-873E-606ADCD8DF9A}"/>
    <hyperlink ref="F9" r:id="rId13" xr:uid="{04848340-55EE-43EF-8C9B-D9C626A26FC7}"/>
  </hyperlinks>
  <pageMargins left="0.7" right="0.7" top="0.75" bottom="0.75" header="0.3" footer="0.3"/>
  <tableParts count="1"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PFM</vt:lpstr>
      <vt:lpstr>New</vt:lpstr>
      <vt:lpstr>solder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Rybka (martryb957)</cp:lastModifiedBy>
  <dcterms:created xsi:type="dcterms:W3CDTF">2025-05-05T16:54:51Z</dcterms:created>
  <dcterms:modified xsi:type="dcterms:W3CDTF">2026-06-09T17:49:15Z</dcterms:modified>
</cp:coreProperties>
</file>