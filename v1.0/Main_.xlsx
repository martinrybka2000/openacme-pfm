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__Projekty\02_PF_measurment\"/>
    </mc:Choice>
  </mc:AlternateContent>
  <xr:revisionPtr revIDLastSave="0" documentId="13_ncr:1_{3AB20403-22B3-4467-90EC-E923F795DF93}" xr6:coauthVersionLast="47" xr6:coauthVersionMax="47" xr10:uidLastSave="{00000000-0000-0000-0000-000000000000}"/>
  <bookViews>
    <workbookView xWindow="-120" yWindow="-120" windowWidth="38640" windowHeight="21240" activeTab="4" xr2:uid="{B2E05B0C-6D44-4440-A036-1C8D8D06CD48}"/>
  </bookViews>
  <sheets>
    <sheet name="Main" sheetId="1" r:id="rId1"/>
    <sheet name="PF_I_V_isolated_measurment_" sheetId="2" r:id="rId2"/>
    <sheet name="USB_" sheetId="3" r:id="rId3"/>
    <sheet name="Ethernet" sheetId="4" r:id="rId4"/>
    <sheet name="I shunt calcula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5" l="1"/>
  <c r="Z8" i="5"/>
  <c r="Z9" i="5"/>
  <c r="Z10" i="5"/>
  <c r="Z11" i="5"/>
  <c r="Z12" i="5"/>
  <c r="Z6" i="5"/>
  <c r="Y7" i="5"/>
  <c r="Y8" i="5"/>
  <c r="Y9" i="5"/>
  <c r="Y10" i="5"/>
  <c r="Y11" i="5"/>
  <c r="Y12" i="5"/>
  <c r="Y6" i="5"/>
  <c r="X12" i="5"/>
  <c r="D20" i="5"/>
  <c r="X11" i="5"/>
  <c r="AD5" i="5" s="1"/>
  <c r="AD6" i="5" s="1"/>
  <c r="H14" i="5" s="1"/>
  <c r="X10" i="5"/>
  <c r="X7" i="5"/>
  <c r="X8" i="5"/>
  <c r="X9" i="5"/>
  <c r="X6" i="5"/>
  <c r="D14" i="5"/>
  <c r="D16" i="5" s="1"/>
  <c r="D18" i="5" s="1"/>
  <c r="C64" i="2"/>
  <c r="E112" i="2"/>
  <c r="C112" i="2"/>
  <c r="C109" i="2" s="1"/>
  <c r="E106" i="2"/>
  <c r="E105" i="2"/>
  <c r="C103" i="2"/>
  <c r="E102" i="2"/>
  <c r="E65" i="2"/>
  <c r="C65" i="2"/>
  <c r="E62" i="2"/>
  <c r="C62" i="2"/>
  <c r="E61" i="2"/>
  <c r="F16" i="2"/>
  <c r="L14" i="5" l="1"/>
  <c r="L18" i="5" s="1"/>
  <c r="L19" i="5" s="1"/>
  <c r="L20" i="5" s="1"/>
  <c r="L21" i="5" s="1"/>
  <c r="L22" i="5" s="1"/>
  <c r="H17" i="5"/>
  <c r="D21" i="5" s="1"/>
  <c r="H16" i="5"/>
  <c r="D17" i="5"/>
  <c r="C108" i="2"/>
</calcChain>
</file>

<file path=xl/sharedStrings.xml><?xml version="1.0" encoding="utf-8"?>
<sst xmlns="http://schemas.openxmlformats.org/spreadsheetml/2006/main" count="286" uniqueCount="165">
  <si>
    <t>Learing tabel</t>
  </si>
  <si>
    <t>Title</t>
  </si>
  <si>
    <t>Type</t>
  </si>
  <si>
    <t>Link</t>
  </si>
  <si>
    <t>Read</t>
  </si>
  <si>
    <t>Notes</t>
  </si>
  <si>
    <t>PFC &amp; LLC Ti controllers</t>
  </si>
  <si>
    <t>Ti site</t>
  </si>
  <si>
    <t>TODO</t>
  </si>
  <si>
    <t>Power Factor Correction (PFC)
Circuit Basics</t>
  </si>
  <si>
    <t>Ti seminar</t>
  </si>
  <si>
    <t>PDF</t>
  </si>
  <si>
    <t>DONE</t>
  </si>
  <si>
    <t>How to Meet the Stringent Requirement for Power Factor
and iTHD of Three-Phase ac Input system With Vienna
PFC</t>
  </si>
  <si>
    <t>Ti whitepaper</t>
  </si>
  <si>
    <t>Power Factor Correction (PFC) basics and classifying topologies</t>
  </si>
  <si>
    <t>Ti Videos</t>
  </si>
  <si>
    <t>Videos</t>
  </si>
  <si>
    <t>Digitally controlled high efficiency and high power density PFC circuits</t>
  </si>
  <si>
    <t>Power factor correct (PFC) basics and design considerations</t>
  </si>
  <si>
    <t>Power factor correction using peak
current-mode control</t>
  </si>
  <si>
    <t>Ti Analog Journal paper</t>
  </si>
  <si>
    <t>Improve power density with a baby
boost converter in a PFC circuit</t>
  </si>
  <si>
    <t>How to improve PFC light-load efficiency</t>
  </si>
  <si>
    <t>A comparative analysis of topologies for
a bridgeless-boost PFC circuit</t>
  </si>
  <si>
    <t>Control challenges in a totem-pole PFC</t>
  </si>
  <si>
    <t>Increase power factor by digitally
compensating for PFC EMI-capacitor
reactive current</t>
  </si>
  <si>
    <t>How to reduce current spikes at AC
zero-crossing for totem-pole PFC</t>
  </si>
  <si>
    <t>Design a transition-mode, bridgeless PFC with
a standard PFC controller</t>
  </si>
  <si>
    <t>AC cycle skipping improves PFC
light-load efficiency</t>
  </si>
  <si>
    <t>Digital current balancing for an
interleaved boost PFC</t>
  </si>
  <si>
    <t>UCC28517 100-W PFC power converter
with 12-V, 8-W bias supply, Part 1</t>
  </si>
  <si>
    <t>UCC28517 100-W PFC power converter
with 12-V, 8-W bias supply, Part 2</t>
  </si>
  <si>
    <t>ANALOG DESIGN JOURNAL article
archive</t>
  </si>
  <si>
    <t>Współczynnik Mocy i PFC_</t>
  </si>
  <si>
    <t>Gemini DeepsSearch Doc</t>
  </si>
  <si>
    <t>Pomiar Współczynnika Mocy_ Metody i Sposoby_</t>
  </si>
  <si>
    <t>Cyfrowy Pomiar Współczynnika Mocy_ Opis, Metody i Komponenty_</t>
  </si>
  <si>
    <t>PFC for not dummies</t>
  </si>
  <si>
    <t>Założenia</t>
  </si>
  <si>
    <t>Pomiar prądu I napięcia → komunikacja z prockiem → komunikacja z kompem</t>
  </si>
  <si>
    <t>Zasilanie z sieci</t>
  </si>
  <si>
    <t>Wysiwetlacz oled albo LCD</t>
  </si>
  <si>
    <t>Ethernet ?</t>
  </si>
  <si>
    <t>https://www.ti.com/video/series/precision-labs/ti-precision-labs-ethernet.html</t>
  </si>
  <si>
    <t>USB</t>
  </si>
  <si>
    <t>STM32H750B-DK</t>
  </si>
  <si>
    <t>discover board z tym prockiem</t>
  </si>
  <si>
    <t>Suma</t>
  </si>
  <si>
    <t>MPN</t>
  </si>
  <si>
    <t>Datasheet</t>
  </si>
  <si>
    <t>Mouser</t>
  </si>
  <si>
    <t>Price</t>
  </si>
  <si>
    <t>Isol ADC V</t>
  </si>
  <si>
    <t>AMC3336</t>
  </si>
  <si>
    <t>AMC3336DWER</t>
  </si>
  <si>
    <t>Isol ADC I</t>
  </si>
  <si>
    <t>AMC3306M25</t>
  </si>
  <si>
    <t>AMC3306M25DWER</t>
  </si>
  <si>
    <t>Procek</t>
  </si>
  <si>
    <t>Stm32</t>
  </si>
  <si>
    <t>STM32H750VBT6</t>
  </si>
  <si>
    <t>Input connector</t>
  </si>
  <si>
    <t>710-691502710003</t>
  </si>
  <si>
    <t>Shunt R</t>
  </si>
  <si>
    <t>TLRP3A30DR025FTE</t>
  </si>
  <si>
    <t>279-TLRP3A30DR025FTE</t>
  </si>
  <si>
    <t>R div BIG</t>
  </si>
  <si>
    <t>ERA-6AEB7153V</t>
  </si>
  <si>
    <t>667-ERA-6AEB7153V</t>
  </si>
  <si>
    <t>R div SMALL</t>
  </si>
  <si>
    <t>ERA-3AEB103V</t>
  </si>
  <si>
    <t>667-ERA-3AEB103V</t>
  </si>
  <si>
    <t>eFuse</t>
  </si>
  <si>
    <t>TPS259620DDAR</t>
  </si>
  <si>
    <t>595-TPS259620DDAR</t>
  </si>
  <si>
    <t>25M crystal</t>
  </si>
  <si>
    <t>DSC1001DI1-025.0000</t>
  </si>
  <si>
    <t>998-1001DI1-025.0000</t>
  </si>
  <si>
    <t>Usb connector</t>
  </si>
  <si>
    <t>47590-0001</t>
  </si>
  <si>
    <t>538-47590-0001</t>
  </si>
  <si>
    <t>USB TVS</t>
  </si>
  <si>
    <t xml:space="preserve"> USBLC6-4SC6Y</t>
  </si>
  <si>
    <t>511-USBLC6-4SC6Y</t>
  </si>
  <si>
    <t>3V3 LDO</t>
  </si>
  <si>
    <t>TLV1117LV33DCYR</t>
  </si>
  <si>
    <t>595-TLV1117LV33DCYR</t>
  </si>
  <si>
    <t>Etherenet mag</t>
  </si>
  <si>
    <t>ALANL100X1-DE12DT</t>
  </si>
  <si>
    <t>815-ALANL100X1DE12DT</t>
  </si>
  <si>
    <t>Etherenet PHY</t>
  </si>
  <si>
    <t>LAN8740AI</t>
  </si>
  <si>
    <t>579-LAN8740AI-EN-TR</t>
  </si>
  <si>
    <t>SSR</t>
  </si>
  <si>
    <t>VO1400AEFTR</t>
  </si>
  <si>
    <t>782-VO1400AEFTR</t>
  </si>
  <si>
    <t>Schmitt inv</t>
  </si>
  <si>
    <t>SN74LVC14APWRG3</t>
  </si>
  <si>
    <t>595-SN74LVC14APWRG3</t>
  </si>
  <si>
    <t>Out TVS</t>
  </si>
  <si>
    <t>PESD36VS2UT,215</t>
  </si>
  <si>
    <t>LInk</t>
  </si>
  <si>
    <t>771-PESD36VS2UT215</t>
  </si>
  <si>
    <t>I_ADC calculation</t>
  </si>
  <si>
    <t>REAL</t>
  </si>
  <si>
    <t>Vclip</t>
  </si>
  <si>
    <t>mV</t>
  </si>
  <si>
    <t>Vfs</t>
  </si>
  <si>
    <t>Vshunt</t>
  </si>
  <si>
    <t>I nom</t>
  </si>
  <si>
    <t>A</t>
  </si>
  <si>
    <t>I overc</t>
  </si>
  <si>
    <t>Rshunt</t>
  </si>
  <si>
    <t>mOhm</t>
  </si>
  <si>
    <t>Pshunt</t>
  </si>
  <si>
    <t>W</t>
  </si>
  <si>
    <t>V_ADC calculations</t>
  </si>
  <si>
    <t>TPS Efuse Calculation</t>
  </si>
  <si>
    <t>Ilim</t>
  </si>
  <si>
    <t>Rlim</t>
  </si>
  <si>
    <t>Ohm</t>
  </si>
  <si>
    <t>UVLO</t>
  </si>
  <si>
    <t>V</t>
  </si>
  <si>
    <t>OVLO</t>
  </si>
  <si>
    <t>R1</t>
  </si>
  <si>
    <t>R2</t>
  </si>
  <si>
    <t>R3</t>
  </si>
  <si>
    <t>R1 + R2</t>
  </si>
  <si>
    <t>Diff 90Ohm</t>
  </si>
  <si>
    <t>https://www.mouser.pl/datasheet/2/268/00001987A-3443048.pdf</t>
  </si>
  <si>
    <t>https://www.mouser.pl/ProductDetail/Amphenol-Commercial-Products/RJHSE-5380?qs=rM3ofmSYd5RUaPrWD7oMhw%3D%3D</t>
  </si>
  <si>
    <t>https://www.mouser.pl/ProductDetail/ABRACON/ALANS100X1-2F10ET?qs=mAH9sUMRCttQXbNrFkUJng%3D%3D</t>
  </si>
  <si>
    <t>LAN schematic checklist</t>
  </si>
  <si>
    <t>https://ww1.microchip.com/downloads/aemDocuments/documents/UNG/ProductDocuments/DesignChecklist/LAN8740AQFNRevASchematicChecklist.pdf</t>
  </si>
  <si>
    <t>max shunt V</t>
  </si>
  <si>
    <t>max RMS I</t>
  </si>
  <si>
    <t>max peak I</t>
  </si>
  <si>
    <t>shunt R</t>
  </si>
  <si>
    <t>shut power</t>
  </si>
  <si>
    <t>chosen R</t>
  </si>
  <si>
    <t>chosen RMS I</t>
  </si>
  <si>
    <t>max V</t>
  </si>
  <si>
    <t>shunt P</t>
  </si>
  <si>
    <t>I meas</t>
  </si>
  <si>
    <t>nom R</t>
  </si>
  <si>
    <t>tem chan</t>
  </si>
  <si>
    <t>*C</t>
  </si>
  <si>
    <t>new R</t>
  </si>
  <si>
    <t>PPM</t>
  </si>
  <si>
    <t>R diff</t>
  </si>
  <si>
    <t>new V</t>
  </si>
  <si>
    <t>new I meas</t>
  </si>
  <si>
    <t>I diff</t>
  </si>
  <si>
    <t>pow div</t>
  </si>
  <si>
    <t>P each</t>
  </si>
  <si>
    <t>R mOhm</t>
  </si>
  <si>
    <t>1m</t>
  </si>
  <si>
    <t>2m</t>
  </si>
  <si>
    <t>R para, mOhm</t>
  </si>
  <si>
    <t>1/R</t>
  </si>
  <si>
    <t>Sum 1/R</t>
  </si>
  <si>
    <t>Rz, mOhm</t>
  </si>
  <si>
    <t>Ir, A</t>
  </si>
  <si>
    <t>Pr,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</si>
</sst>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&quot;[$zł-415];[Red]&quot;-&quot;#,##0.00&quot; &quot;[$zł-415]"/>
    <numFmt numFmtId="165" formatCode="0.000"/>
    <numFmt numFmtId="170" formatCode="0.0000"/>
  </numFmts>
  <fonts count="25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sz val="10"/>
      <color theme="1"/>
      <name val="Calibri"/>
      <family val="2"/>
    </font>
    <font>
      <sz val="10"/>
      <color rgb="FF006100"/>
      <name val="Liberation Sans"/>
      <family val="2"/>
    </font>
    <font>
      <sz val="10"/>
      <color rgb="FF000000"/>
      <name val="Liberation Sans"/>
      <family val="2"/>
    </font>
    <font>
      <sz val="10"/>
      <color rgb="FF006100"/>
      <name val="Calibri"/>
      <family val="2"/>
    </font>
    <font>
      <sz val="11"/>
      <color rgb="FF000000"/>
      <name val="Liberation Sans1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theme="1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u/>
      <sz val="10"/>
      <color rgb="FF467886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theme="1"/>
      <name val="Calibri"/>
      <family val="2"/>
    </font>
    <font>
      <u/>
      <sz val="10"/>
      <color rgb="FF467886"/>
      <name val="Liberation Serif"/>
      <family val="1"/>
    </font>
    <font>
      <sz val="10"/>
      <color theme="1"/>
      <name val="Liberation Serif"/>
      <family val="1"/>
    </font>
    <font>
      <u/>
      <sz val="10"/>
      <color rgb="FF467886"/>
      <name val="Liberation Serif1"/>
    </font>
    <font>
      <b/>
      <sz val="10"/>
      <color theme="1"/>
      <name val="Liberation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61CBF3"/>
        <bgColor rgb="FF61CBF3"/>
      </patternFill>
    </fill>
    <fill>
      <patternFill patternType="solid">
        <fgColor rgb="FFC6EFCE"/>
        <bgColor rgb="FFC6EFCE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ADADAD"/>
        <bgColor rgb="FFADADAD"/>
      </patternFill>
    </fill>
    <fill>
      <patternFill patternType="solid">
        <fgColor rgb="FFB2B2B2"/>
        <bgColor rgb="FFB2B2B2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8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7" borderId="0" applyNumberFormat="0" applyBorder="0" applyAlignment="0" applyProtection="0"/>
    <xf numFmtId="0" fontId="1" fillId="6" borderId="0" applyNumberFormat="0" applyFont="0" applyBorder="0" applyAlignment="0" applyProtection="0"/>
    <xf numFmtId="0" fontId="6" fillId="7" borderId="0" applyNumberFormat="0" applyBorder="0" applyAlignment="0" applyProtection="0"/>
    <xf numFmtId="0" fontId="1" fillId="6" borderId="0" applyNumberFormat="0" applyFont="0" applyBorder="0" applyAlignment="0" applyProtection="0"/>
    <xf numFmtId="0" fontId="6" fillId="7" borderId="0" applyNumberFormat="0" applyBorder="0" applyAlignment="0" applyProtection="0"/>
    <xf numFmtId="0" fontId="1" fillId="6" borderId="0" applyNumberFormat="0" applyFon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5" fillId="6" borderId="0" applyNumberFormat="0" applyBorder="0" applyProtection="0"/>
    <xf numFmtId="0" fontId="6" fillId="7" borderId="0" applyNumberFormat="0" applyBorder="0" applyProtection="0"/>
    <xf numFmtId="0" fontId="1" fillId="6" borderId="0" applyNumberFormat="0" applyFont="0" applyBorder="0" applyProtection="0"/>
    <xf numFmtId="0" fontId="9" fillId="0" borderId="0" applyNumberFormat="0" applyBorder="0" applyProtection="0"/>
    <xf numFmtId="0" fontId="10" fillId="8" borderId="0" applyNumberFormat="0" applyBorder="0" applyProtection="0"/>
    <xf numFmtId="0" fontId="11" fillId="0" borderId="0" applyNumberFormat="0" applyBorder="0" applyProtection="0"/>
    <xf numFmtId="0" fontId="12" fillId="9" borderId="0" applyNumberFormat="0" applyBorder="0" applyProtection="0"/>
    <xf numFmtId="0" fontId="13" fillId="0" borderId="0" applyNumberFormat="0" applyBorder="0" applyProtection="0"/>
    <xf numFmtId="0" fontId="14" fillId="0" borderId="0" applyNumberFormat="0" applyBorder="0" applyProtection="0"/>
    <xf numFmtId="0" fontId="15" fillId="0" borderId="0" applyNumberFormat="0" applyBorder="0" applyProtection="0"/>
    <xf numFmtId="0" fontId="16" fillId="0" borderId="0" applyNumberFormat="0" applyBorder="0" applyProtection="0"/>
    <xf numFmtId="0" fontId="17" fillId="0" borderId="0" applyNumberFormat="0" applyBorder="0" applyProtection="0"/>
    <xf numFmtId="0" fontId="18" fillId="10" borderId="0" applyNumberFormat="0" applyBorder="0" applyProtection="0"/>
    <xf numFmtId="0" fontId="19" fillId="10" borderId="1" applyNumberFormat="0" applyProtection="0"/>
    <xf numFmtId="0" fontId="20" fillId="0" borderId="0" applyNumberFormat="0" applyBorder="0" applyProtection="0"/>
    <xf numFmtId="0" fontId="5" fillId="0" borderId="0" applyNumberFormat="0" applyBorder="0" applyProtection="0"/>
    <xf numFmtId="0" fontId="5" fillId="0" borderId="0" applyNumberFormat="0" applyBorder="0" applyProtection="0"/>
    <xf numFmtId="0" fontId="4" fillId="0" borderId="0" applyNumberFormat="0" applyBorder="0" applyProtection="0"/>
  </cellStyleXfs>
  <cellXfs count="40">
    <xf numFmtId="0" fontId="0" fillId="0" borderId="0" xfId="0"/>
    <xf numFmtId="0" fontId="5" fillId="0" borderId="0" xfId="0" applyFont="1"/>
    <xf numFmtId="0" fontId="2" fillId="0" borderId="0" xfId="0" applyFont="1"/>
    <xf numFmtId="0" fontId="2" fillId="11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6" fillId="0" borderId="2" xfId="3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16" fillId="0" borderId="3" xfId="3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/>
    <xf numFmtId="0" fontId="16" fillId="0" borderId="2" xfId="30" applyBorder="1" applyAlignment="1">
      <alignment horizontal="center"/>
    </xf>
    <xf numFmtId="0" fontId="16" fillId="0" borderId="0" xfId="30"/>
    <xf numFmtId="0" fontId="16" fillId="0" borderId="0" xfId="30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2" xfId="0" applyNumberFormat="1" applyFont="1" applyBorder="1" applyAlignment="1">
      <alignment horizont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6" fillId="0" borderId="3" xfId="30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21" fillId="0" borderId="2" xfId="3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3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5" fillId="0" borderId="0" xfId="0" applyNumberFormat="1" applyFont="1"/>
    <xf numFmtId="165" fontId="5" fillId="0" borderId="0" xfId="0" applyNumberFormat="1" applyFont="1"/>
    <xf numFmtId="0" fontId="24" fillId="0" borderId="0" xfId="0" applyFont="1"/>
    <xf numFmtId="2" fontId="0" fillId="0" borderId="0" xfId="0" applyNumberFormat="1"/>
    <xf numFmtId="0" fontId="0" fillId="0" borderId="0" xfId="0" applyFont="1"/>
    <xf numFmtId="170" fontId="0" fillId="0" borderId="0" xfId="0" applyNumberFormat="1" applyAlignment="1">
      <alignment horizontal="right" vertical="center"/>
    </xf>
  </cellXfs>
  <cellStyles count="38">
    <cellStyle name="Accent" xfId="1" xr:uid="{B45C575C-57EF-40D3-B2A3-3830EBC26D7A}"/>
    <cellStyle name="Accent 1" xfId="2" xr:uid="{1FC51FE5-EE48-41C2-83BB-3AEFBDBF2600}"/>
    <cellStyle name="Accent 2" xfId="3" xr:uid="{286965EB-6D04-4617-88B3-3DCC86C9501D}"/>
    <cellStyle name="Accent 3" xfId="4" xr:uid="{6A824F30-21B3-420F-8C31-1F82FBC06B63}"/>
    <cellStyle name="Bad" xfId="5" xr:uid="{69A24AA8-61B0-4B01-B6A1-D34A4AE70505}"/>
    <cellStyle name="cf1" xfId="6" xr:uid="{5A2D13C5-1D2C-4B0F-82FA-E9BA5F58D545}"/>
    <cellStyle name="cf10" xfId="7" xr:uid="{194B46B8-A401-4143-95B7-75D38988B757}"/>
    <cellStyle name="cf11" xfId="8" xr:uid="{E60C2EC7-AA6D-4395-8751-56C0F41F32CE}"/>
    <cellStyle name="cf12" xfId="9" xr:uid="{AB96455C-006B-4B0E-9A13-4D83D9587BA0}"/>
    <cellStyle name="cf13" xfId="10" xr:uid="{5899B8CE-214D-4B7E-BEC2-38A4C879C71D}"/>
    <cellStyle name="cf14" xfId="11" xr:uid="{03E604A2-1FD8-43A3-BBA4-C5E677EE7A33}"/>
    <cellStyle name="cf15" xfId="12" xr:uid="{15D0F611-FE7C-4C57-AB85-05C918BE2C11}"/>
    <cellStyle name="cf16" xfId="13" xr:uid="{B64EF89D-AE7A-4D64-A81B-AE3DA1FE6430}"/>
    <cellStyle name="cf17" xfId="14" xr:uid="{3B2EAEB6-70D6-48A8-BD22-911833A397CB}"/>
    <cellStyle name="cf2" xfId="15" xr:uid="{CA7DCEF8-A413-4820-AF90-16805BC42A98}"/>
    <cellStyle name="cf3" xfId="16" xr:uid="{229094D0-D46B-46F0-8EA4-851D52C1A37F}"/>
    <cellStyle name="cf4" xfId="17" xr:uid="{3AEC1A01-EEB4-43C0-AA8F-C291F9848917}"/>
    <cellStyle name="cf5" xfId="18" xr:uid="{4BE359F9-D2FA-48F6-A409-034A7D3F01CE}"/>
    <cellStyle name="cf6" xfId="19" xr:uid="{E173C0B2-AA5F-401B-B3AC-48938F1AE9CF}"/>
    <cellStyle name="cf7" xfId="20" xr:uid="{C854D8E7-F7B4-4D1C-A299-D5B7F4E54FFC}"/>
    <cellStyle name="cf8" xfId="21" xr:uid="{2CF72198-7110-4D85-8075-17141A2B07F9}"/>
    <cellStyle name="cf9" xfId="22" xr:uid="{6A93414D-825D-4E27-8F90-A39975741CAE}"/>
    <cellStyle name="Default" xfId="23" xr:uid="{332068B5-F4DD-4A24-9629-ED05B914DA97}"/>
    <cellStyle name="Error" xfId="24" xr:uid="{6068C9DC-47C3-4780-8AD8-C682A90E975A}"/>
    <cellStyle name="Footnote" xfId="25" xr:uid="{C549264B-B585-4B7C-AC18-88EE30D005FA}"/>
    <cellStyle name="Good" xfId="26" xr:uid="{4C211A50-D1A6-4221-A039-33E9B7809B78}"/>
    <cellStyle name="Heading" xfId="27" xr:uid="{67B74B64-A6BA-4D6D-A27A-F9CB9C7CE39D}"/>
    <cellStyle name="Heading 1" xfId="28" xr:uid="{DF8A39DC-033D-4CDB-BCD7-F90721A992A7}"/>
    <cellStyle name="Heading 2" xfId="29" xr:uid="{095171EA-B427-4FEB-AA57-4DC80E3EFFD8}"/>
    <cellStyle name="Hiperłącze" xfId="30" xr:uid="{F145F800-CCD3-488B-8806-8A7A2B58A8F6}"/>
    <cellStyle name="Hyperlink" xfId="31" xr:uid="{D38736A8-C5A6-40BF-842B-6AAD7CC9C28C}"/>
    <cellStyle name="Neutral" xfId="32" xr:uid="{39761648-188E-4523-9787-3E272B33FDBE}"/>
    <cellStyle name="Normalny" xfId="0" builtinId="0" customBuiltin="1"/>
    <cellStyle name="Note" xfId="33" xr:uid="{B9F7AB21-0888-4350-843E-44B29EED09C2}"/>
    <cellStyle name="Result" xfId="34" xr:uid="{2783DC91-C15F-48A4-B69A-3EFA3FFA6A6A}"/>
    <cellStyle name="Status" xfId="35" xr:uid="{F0DB8BAA-0AB6-4622-9639-1C6550D81479}"/>
    <cellStyle name="Text" xfId="36" xr:uid="{103B4744-426E-437B-A871-CA19CDF2788B}"/>
    <cellStyle name="Warning" xfId="37" xr:uid="{F17F073F-0043-48FB-98CA-F5DFDB0CAA97}"/>
  </cellStyles>
  <dxfs count="2">
    <dxf>
      <font>
        <color rgb="FF000000"/>
        <family val="2"/>
      </font>
      <fill>
        <patternFill patternType="solid">
          <fgColor rgb="FF61CBF3"/>
          <bgColor rgb="FF61CBF3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955279" y="2638775"/>
    <xdr:ext cx="6879579" cy="4499670"/>
    <xdr:pic>
      <xdr:nvPicPr>
        <xdr:cNvPr id="2" name="Image 1">
          <a:extLst>
            <a:ext uri="{FF2B5EF4-FFF2-40B4-BE49-F238E27FC236}">
              <a16:creationId xmlns:a16="http://schemas.microsoft.com/office/drawing/2014/main" id="{BD242A26-396C-92EE-8614-BB4C9EF0C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7955279" y="2638775"/>
          <a:ext cx="6879579" cy="4499670"/>
        </a:xfrm>
        <a:prstGeom prst="rect">
          <a:avLst/>
        </a:prstGeom>
        <a:noFill/>
        <a:ln cap="flat">
          <a:noFill/>
        </a:ln>
      </xdr:spPr>
    </xdr:pic>
    <xdr:clientData/>
  </xdr:absoluteAnchor>
  <xdr:absoluteAnchor>
    <xdr:pos x="14981438" y="2905597"/>
    <xdr:ext cx="8452805" cy="4257354"/>
    <xdr:pic>
      <xdr:nvPicPr>
        <xdr:cNvPr id="3" name="Image 2">
          <a:extLst>
            <a:ext uri="{FF2B5EF4-FFF2-40B4-BE49-F238E27FC236}">
              <a16:creationId xmlns:a16="http://schemas.microsoft.com/office/drawing/2014/main" id="{69A2B141-DC9F-07C8-F8D6-7D1A1680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4981438" y="2905597"/>
          <a:ext cx="8452805" cy="4257354"/>
        </a:xfrm>
        <a:prstGeom prst="rect">
          <a:avLst/>
        </a:prstGeom>
        <a:noFill/>
        <a:ln cap="flat">
          <a:noFill/>
        </a:ln>
      </xdr:spPr>
    </xdr:pic>
    <xdr:clientData/>
  </xdr:absoluteAnchor>
  <xdr:absoluteAnchor>
    <xdr:pos x="14992959" y="7288956"/>
    <xdr:ext cx="10661721" cy="5429890"/>
    <xdr:pic>
      <xdr:nvPicPr>
        <xdr:cNvPr id="4" name="Image 3">
          <a:extLst>
            <a:ext uri="{FF2B5EF4-FFF2-40B4-BE49-F238E27FC236}">
              <a16:creationId xmlns:a16="http://schemas.microsoft.com/office/drawing/2014/main" id="{4F7ECF86-EA7F-2FE1-E34C-E5702BE75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14992959" y="7288956"/>
          <a:ext cx="10661721" cy="5429890"/>
        </a:xfrm>
        <a:prstGeom prst="rect">
          <a:avLst/>
        </a:prstGeom>
        <a:noFill/>
        <a:ln cap="flat">
          <a:noFill/>
        </a:ln>
      </xdr:spPr>
    </xdr:pic>
    <xdr:clientData/>
  </xdr:absoluteAnchor>
  <xdr:oneCellAnchor>
    <xdr:from>
      <xdr:col>1</xdr:col>
      <xdr:colOff>0</xdr:colOff>
      <xdr:row>48</xdr:row>
      <xdr:rowOff>0</xdr:rowOff>
    </xdr:from>
    <xdr:ext cx="7409474" cy="1123889"/>
    <xdr:pic>
      <xdr:nvPicPr>
        <xdr:cNvPr id="6" name="Obraz 4">
          <a:extLst>
            <a:ext uri="{FF2B5EF4-FFF2-40B4-BE49-F238E27FC236}">
              <a16:creationId xmlns:a16="http://schemas.microsoft.com/office/drawing/2014/main" id="{0B5215B2-5A43-3415-ECA9-CF4406548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" y="8258175"/>
          <a:ext cx="7409474" cy="112388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743041</xdr:colOff>
      <xdr:row>69</xdr:row>
      <xdr:rowOff>38130</xdr:rowOff>
    </xdr:from>
    <xdr:ext cx="7771302" cy="1895368"/>
    <xdr:pic>
      <xdr:nvPicPr>
        <xdr:cNvPr id="7" name="Obraz 5">
          <a:extLst>
            <a:ext uri="{FF2B5EF4-FFF2-40B4-BE49-F238E27FC236}">
              <a16:creationId xmlns:a16="http://schemas.microsoft.com/office/drawing/2014/main" id="{7D6E1ED6-4C7D-DCD0-E98A-1AE040FC1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3041" y="12039630"/>
          <a:ext cx="7771302" cy="189536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237990</xdr:colOff>
      <xdr:row>81</xdr:row>
      <xdr:rowOff>66476</xdr:rowOff>
    </xdr:from>
    <xdr:ext cx="7561813" cy="2647462"/>
    <xdr:pic>
      <xdr:nvPicPr>
        <xdr:cNvPr id="8" name="Obraz 6">
          <a:extLst>
            <a:ext uri="{FF2B5EF4-FFF2-40B4-BE49-F238E27FC236}">
              <a16:creationId xmlns:a16="http://schemas.microsoft.com/office/drawing/2014/main" id="{F351DA8A-B97F-4FCC-AA60-2649111B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615" y="14353976"/>
          <a:ext cx="7561813" cy="2647462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7</xdr:col>
      <xdr:colOff>257037</xdr:colOff>
      <xdr:row>106</xdr:row>
      <xdr:rowOff>19110</xdr:rowOff>
    </xdr:from>
    <xdr:ext cx="2695285" cy="1123889"/>
    <xdr:pic>
      <xdr:nvPicPr>
        <xdr:cNvPr id="10" name="Obraz 7">
          <a:extLst>
            <a:ext uri="{FF2B5EF4-FFF2-40B4-BE49-F238E27FC236}">
              <a16:creationId xmlns:a16="http://schemas.microsoft.com/office/drawing/2014/main" id="{364A9574-9E75-F8FD-DC72-980ECBEF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62812" y="18926235"/>
          <a:ext cx="2695285" cy="112388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7</xdr:col>
      <xdr:colOff>390631</xdr:colOff>
      <xdr:row>100</xdr:row>
      <xdr:rowOff>95371</xdr:rowOff>
    </xdr:from>
    <xdr:ext cx="1790669" cy="533186"/>
    <xdr:pic>
      <xdr:nvPicPr>
        <xdr:cNvPr id="9" name="Obraz 8">
          <a:extLst>
            <a:ext uri="{FF2B5EF4-FFF2-40B4-BE49-F238E27FC236}">
              <a16:creationId xmlns:a16="http://schemas.microsoft.com/office/drawing/2014/main" id="{10F6D5E7-D764-CE5D-7383-6CA67E137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96406" y="17973796"/>
          <a:ext cx="1790669" cy="53318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7</xdr:col>
      <xdr:colOff>296466</xdr:colOff>
      <xdr:row>42</xdr:row>
      <xdr:rowOff>104778</xdr:rowOff>
    </xdr:from>
    <xdr:ext cx="7094921" cy="4249399"/>
    <xdr:pic>
      <xdr:nvPicPr>
        <xdr:cNvPr id="5" name="Obraz 9" descr="TM4C1294NCPDT: Ethernet connection to transformer - center taps - Arm-based  microcontrollers forum - Arm-based microcontrollers - TI E2E support forums">
          <a:extLst>
            <a:ext uri="{FF2B5EF4-FFF2-40B4-BE49-F238E27FC236}">
              <a16:creationId xmlns:a16="http://schemas.microsoft.com/office/drawing/2014/main" id="{9C0657EF-B7BC-4985-3EA8-DAE4C9CE1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8402241" y="7248528"/>
          <a:ext cx="7094921" cy="4249399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46798</xdr:colOff>
      <xdr:row>2</xdr:row>
      <xdr:rowOff>38843</xdr:rowOff>
    </xdr:from>
    <xdr:ext cx="13235391" cy="4388754"/>
    <xdr:pic>
      <xdr:nvPicPr>
        <xdr:cNvPr id="2" name="Image 4">
          <a:extLst>
            <a:ext uri="{FF2B5EF4-FFF2-40B4-BE49-F238E27FC236}">
              <a16:creationId xmlns:a16="http://schemas.microsoft.com/office/drawing/2014/main" id="{32F3E288-578A-2505-24DE-9C5A7B373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56423" y="362693"/>
          <a:ext cx="13235391" cy="438875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523768</xdr:colOff>
      <xdr:row>15</xdr:row>
      <xdr:rowOff>142920</xdr:rowOff>
    </xdr:from>
    <xdr:ext cx="8763152" cy="5248473"/>
    <xdr:pic>
      <xdr:nvPicPr>
        <xdr:cNvPr id="3" name="Obraz 1" descr="TM4C1294NCPDT: Ethernet connection to transformer - center taps - Arm-based  microcontrollers forum - Arm-based microcontrollers - TI E2E support forums">
          <a:extLst>
            <a:ext uri="{FF2B5EF4-FFF2-40B4-BE49-F238E27FC236}">
              <a16:creationId xmlns:a16="http://schemas.microsoft.com/office/drawing/2014/main" id="{938E78E3-1814-B688-1C70-D0EFE9F0F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42968" y="2571795"/>
          <a:ext cx="8763152" cy="524847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17</xdr:col>
      <xdr:colOff>471921</xdr:colOff>
      <xdr:row>14</xdr:row>
      <xdr:rowOff>61539</xdr:rowOff>
    </xdr:from>
    <xdr:ext cx="11149187" cy="5656661"/>
    <xdr:pic>
      <xdr:nvPicPr>
        <xdr:cNvPr id="2" name="Image 5">
          <a:extLst>
            <a:ext uri="{FF2B5EF4-FFF2-40B4-BE49-F238E27FC236}">
              <a16:creationId xmlns:a16="http://schemas.microsoft.com/office/drawing/2014/main" id="{F1CE6660-D48E-737A-BF57-DBD3B4228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0835121" y="2328489"/>
          <a:ext cx="11149187" cy="565666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561975</xdr:colOff>
      <xdr:row>2</xdr:row>
      <xdr:rowOff>114300</xdr:rowOff>
    </xdr:from>
    <xdr:ext cx="7409474" cy="1123889"/>
    <xdr:pic>
      <xdr:nvPicPr>
        <xdr:cNvPr id="2" name="Obraz 4">
          <a:extLst>
            <a:ext uri="{FF2B5EF4-FFF2-40B4-BE49-F238E27FC236}">
              <a16:creationId xmlns:a16="http://schemas.microsoft.com/office/drawing/2014/main" id="{D1F66E56-9AED-4F46-923D-4A0D2E65A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" y="438150"/>
          <a:ext cx="7409474" cy="1123889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an/slyt830/slyt830.pdf?ts=1744749204299&amp;ref_url=https%253A%252F%252Fwww.ti.com%252Flit%252Fsg%252Fslyt778c%252Fslyt778c.pdf" TargetMode="External"/><Relationship Id="rId13" Type="http://schemas.openxmlformats.org/officeDocument/2006/relationships/hyperlink" Target="https://www.ti.com/lit/an/slyt650/slyt650.pdf?ts=1744749407505&amp;ref_url=https%253A%252F%252Fwww.ti.com%252Flit%252Fsg%252Fslyt778c%252Fslyt778c.pdf" TargetMode="External"/><Relationship Id="rId18" Type="http://schemas.openxmlformats.org/officeDocument/2006/relationships/hyperlink" Target="https://www.ti.com/lit/an/slyt092/slyt092.pdf?ts=1744749432884&amp;ref_url=https%253A%252F%252Fwww.ti.com%252Flit%252Fsg%252Fslyt778c%252Fslyt778c.pdf" TargetMode="External"/><Relationship Id="rId3" Type="http://schemas.openxmlformats.org/officeDocument/2006/relationships/hyperlink" Target="https://www.ti.com/lit/wp/slaaeo0/slaaeo0.pdf?ts=1744748959679&amp;ref_url=https%253A%252F%252Fwww.ti.com%252Fsitesearch%252Fen-us%252Fdocs%252Funiversalsearch.tsp%253FlangPref%253Den-US%2526nr%253D64%2526searchTerm%253DPFC" TargetMode="External"/><Relationship Id="rId21" Type="http://schemas.openxmlformats.org/officeDocument/2006/relationships/hyperlink" Target="file:///C:\Users\Martin\AppData\Roaming\Microsoft\Excel\PDFs\Pomiar%20Wsp&#243;&#322;czynnika%20Mocy_%20Metody%20i%20Sposoby_.pdf" TargetMode="External"/><Relationship Id="rId7" Type="http://schemas.openxmlformats.org/officeDocument/2006/relationships/hyperlink" Target="https://www.ti.com/lit/an/slyt838/slyt838.pdf?ts=1744749107774&amp;ref_url=https%253A%252F%252Fwww.ti.com%252Flit%252Fsg%252Fslyt778c%252Fslyt778c.pdf" TargetMode="External"/><Relationship Id="rId12" Type="http://schemas.openxmlformats.org/officeDocument/2006/relationships/hyperlink" Target="https://www.ti.com/lit/an/slyt673/slyt673.pdf?ts=1744749401460&amp;ref_url=https%253A%252F%252Fwww.ti.com%252Flit%252Fsg%252Fslyt778c%252Fslyt778c.pdf" TargetMode="External"/><Relationship Id="rId17" Type="http://schemas.openxmlformats.org/officeDocument/2006/relationships/hyperlink" Target="https://www.ti.com/lit/an/slyt097/slyt097.pdf?ts=1744664074590" TargetMode="External"/><Relationship Id="rId2" Type="http://schemas.openxmlformats.org/officeDocument/2006/relationships/hyperlink" Target="https://www.ti.com/lit/ml/zhcp224/zhcp224.pdf?ts=1744789466314&amp;ref_url=https%253A%252F%252Fwww.ti.com%252Fpower-management%252Fpfc-llc.html%253FkeyMatch%253DPFC%2526tisearch%253Duniversal_search" TargetMode="External"/><Relationship Id="rId16" Type="http://schemas.openxmlformats.org/officeDocument/2006/relationships/hyperlink" Target="https://www.ti.com/lit/an/slyt517/slyt517.pdf?ts=1744749428013&amp;ref_url=https%253A%252F%252Fwww.ti.com%252Flit%252Fsg%252Fslyt778c%252Fslyt778c.pdf" TargetMode="External"/><Relationship Id="rId20" Type="http://schemas.openxmlformats.org/officeDocument/2006/relationships/hyperlink" Target="file:///C:\Users\Martin\AppData\Roaming\Microsoft\Excel\PDFs\Wsp&#243;&#322;czynnik%20Mocy%20i%20PFC_.pdf" TargetMode="External"/><Relationship Id="rId1" Type="http://schemas.openxmlformats.org/officeDocument/2006/relationships/hyperlink" Target="https://www.ti.com/power-management/pfc-llc.html?keyMatch=PFC&amp;tisearch=universal_search" TargetMode="External"/><Relationship Id="rId6" Type="http://schemas.openxmlformats.org/officeDocument/2006/relationships/hyperlink" Target="https://www.ti.com/video/series/power-factor-correct--pfc--basics-and-design-considerations.html?keyMatch=PFC&amp;tisearch=universal_search" TargetMode="External"/><Relationship Id="rId11" Type="http://schemas.openxmlformats.org/officeDocument/2006/relationships/hyperlink" Target="https://www.ti.com/lit/an/slyt718/slyt718.pdf?ts=1744749377174&amp;ref_url=https%253A%252F%252Fwww.ti.com%252Flit%252Fsg%252Fslyt778c%252Fslyt778c.pdf" TargetMode="External"/><Relationship Id="rId5" Type="http://schemas.openxmlformats.org/officeDocument/2006/relationships/hyperlink" Target="https://www.ti.com/video/series/digitally-controlled-high-efficiency-and-high-power-density-pfc-.html?keyMatch=PFC&amp;tisearch=universal_search" TargetMode="External"/><Relationship Id="rId15" Type="http://schemas.openxmlformats.org/officeDocument/2006/relationships/hyperlink" Target="https://www.ti.com/lit/an/slyt585/slyt585.pdf?ts=1744749421217&amp;ref_url=https%253A%252F%252Fwww.ti.com%252Flit%252Fsg%252Fslyt778c%252Fslyt778c.pdf" TargetMode="External"/><Relationship Id="rId23" Type="http://schemas.openxmlformats.org/officeDocument/2006/relationships/hyperlink" Target="https://www.ti.com/video/5567966309001?keyMatch=HVI%20PFC%20Not%20For%20Dummies&amp;tisearch=universal_search" TargetMode="External"/><Relationship Id="rId10" Type="http://schemas.openxmlformats.org/officeDocument/2006/relationships/hyperlink" Target="https://www.ti.com/lit/an/slyt750/slyt750.pdf?ts=1744749354744&amp;ref_url=https%253A%252F%252Fwww.ti.com%252Flit%252Fsg%252Fslyt778c%252Fslyt778c.pdf" TargetMode="External"/><Relationship Id="rId19" Type="http://schemas.openxmlformats.org/officeDocument/2006/relationships/hyperlink" Target="https://www.ti.com/lit/sg/slyt778c/slyt778c.pdf" TargetMode="External"/><Relationship Id="rId4" Type="http://schemas.openxmlformats.org/officeDocument/2006/relationships/hyperlink" Target="https://www.ti.com/video/series/power-factor-correction-circuit-basics.html?keyMatch=PFC&amp;tisearch=universal_search&amp;f-videos=Video%20series" TargetMode="External"/><Relationship Id="rId9" Type="http://schemas.openxmlformats.org/officeDocument/2006/relationships/hyperlink" Target="https://www.ti.com/lit/an/slyt785/slyt785.pdf?ts=1744749283813&amp;ref_url=https%253A%252F%252Fwww.ti.com%252Flit%252Fsg%252Fslyt778c%252Fslyt778c.pdf" TargetMode="External"/><Relationship Id="rId14" Type="http://schemas.openxmlformats.org/officeDocument/2006/relationships/hyperlink" Target="https://www.ti.com/lit/an/slyt599/slyt599.pdf?ts=1744749414485&amp;ref_url=https%253A%252F%252Fwww.ti.com%252Flit%252Fsg%252Fslyt778c%252Fslyt778c.pdf" TargetMode="External"/><Relationship Id="rId22" Type="http://schemas.openxmlformats.org/officeDocument/2006/relationships/hyperlink" Target="file:///C:\Users\Martin\AppData\Roaming\Microsoft\Excel\PDFs\Cyfrowy%20Pomiar%20Wsp&#243;&#322;czynnika%20Mocy_%20Opis,%20Metody%20i%20Komponenty_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ndustrial.panasonic.com/cdbs/www-data/pdf/RDM0000/AOA0000C307.pdf" TargetMode="External"/><Relationship Id="rId18" Type="http://schemas.openxmlformats.org/officeDocument/2006/relationships/hyperlink" Target="https://www.mouser.pl/datasheet/2/268/DSC1001_3_4_1_8V_3_3V_Low_Power_Precision_CMOS_Osc-3314582.pdf" TargetMode="External"/><Relationship Id="rId26" Type="http://schemas.openxmlformats.org/officeDocument/2006/relationships/hyperlink" Target="https://www.mouser.pl/datasheet/2/3/ALANL100X1-1652341.pdf" TargetMode="External"/><Relationship Id="rId3" Type="http://schemas.openxmlformats.org/officeDocument/2006/relationships/hyperlink" Target="https://www.ti.com/lit/ds/symlink/amc3336.pdf?ts=1744696834220&amp;ref_url=https%253A%252F%252Fwww.mouser.de%252F" TargetMode="External"/><Relationship Id="rId21" Type="http://schemas.openxmlformats.org/officeDocument/2006/relationships/hyperlink" Target="https://www.mouser.pl/ProductDetail/Molex/47590-0001?qs=B2dI1vFk2x%252BDCUfk3sC4bA%3D%3D" TargetMode="External"/><Relationship Id="rId34" Type="http://schemas.openxmlformats.org/officeDocument/2006/relationships/hyperlink" Target="https://www.mouser.pl/ProductDetail/Nexperia/PESD36VS2UT215?qs=GcY6OjH1zdmTNUVlmhpatA%3D%3D" TargetMode="External"/><Relationship Id="rId7" Type="http://schemas.openxmlformats.org/officeDocument/2006/relationships/hyperlink" Target="https://www.mouser.pl/datasheet/2/389/stm32h750ib-1761001.pdf" TargetMode="External"/><Relationship Id="rId12" Type="http://schemas.openxmlformats.org/officeDocument/2006/relationships/hyperlink" Target="https://www.mouser.pl/ProductDetail/TE-Connectivity-Holsworthy/TLRP3A30DR025FTE?qs=QNEnbhJQKvb0BhRgpXxfzA%3D%3D" TargetMode="External"/><Relationship Id="rId17" Type="http://schemas.openxmlformats.org/officeDocument/2006/relationships/hyperlink" Target="https://www.ti.com/lit/ds/symlink/tps2596.pdf?ts=1745769595888&amp;ref_url=https%253A%252F%252Fwww.ti.com%252Fproduct%252FTPS2596" TargetMode="External"/><Relationship Id="rId25" Type="http://schemas.openxmlformats.org/officeDocument/2006/relationships/hyperlink" Target="https://www.mouser.pl/ProductDetail/Texas-Instruments/TLV1117LV33DCYR?qs=tEz3BkPb1rwzXMb8FiWhow%3D%3D" TargetMode="External"/><Relationship Id="rId33" Type="http://schemas.openxmlformats.org/officeDocument/2006/relationships/hyperlink" Target="https://assets.nexperia.com/documents/data-sheet/PESD36VS2UT.pdf" TargetMode="External"/><Relationship Id="rId2" Type="http://schemas.openxmlformats.org/officeDocument/2006/relationships/hyperlink" Target="file:///C:\Users\Martin\AppData\Roaming\Microsoft\Excel\STM32_discovery_board_SCH.pdf" TargetMode="External"/><Relationship Id="rId16" Type="http://schemas.openxmlformats.org/officeDocument/2006/relationships/hyperlink" Target="https://www.mouser.pl/ProductDetail/Panasonic/ERA-3AEB103V?qs=sGAEpiMZZMtG0KNrPCHnjTg0x5DoQJ5PvHBDpfJ%2F6js%3D" TargetMode="External"/><Relationship Id="rId20" Type="http://schemas.openxmlformats.org/officeDocument/2006/relationships/hyperlink" Target="https://www.molex.com/en-us/products/part-detail-pdf/475900001?display=pdf" TargetMode="External"/><Relationship Id="rId29" Type="http://schemas.openxmlformats.org/officeDocument/2006/relationships/hyperlink" Target="https://www.mouser.pl/datasheet/2/408/TLP176AM_datasheet_en_20230821-1320854.pdf" TargetMode="External"/><Relationship Id="rId1" Type="http://schemas.openxmlformats.org/officeDocument/2006/relationships/hyperlink" Target="https://www.ti.com/video/series/precision-labs/ti-precision-labs-ethernet.html" TargetMode="External"/><Relationship Id="rId6" Type="http://schemas.openxmlformats.org/officeDocument/2006/relationships/hyperlink" Target="https://www.mouser.pl/ProductDetail/Texas-Instruments/AMC3306M25DWER?qs=sGAEpiMZZMutXGli8Ay4kHv45Zn99GEvwopVWZ%252BHH%2FQ%3D" TargetMode="External"/><Relationship Id="rId11" Type="http://schemas.openxmlformats.org/officeDocument/2006/relationships/hyperlink" Target="https://www.mouser.pl/datasheet/2/418/8/ENG_DS_1773449_4_C-2492014.pdf" TargetMode="External"/><Relationship Id="rId24" Type="http://schemas.openxmlformats.org/officeDocument/2006/relationships/hyperlink" Target="https://www.ti.com/lit/ds/symlink/tlv1117lv.pdf?ts=1745918401461&amp;ref_url=https%253A%252F%252Fwww.ti.com%252Fproduct%252FTLV1117LV" TargetMode="External"/><Relationship Id="rId32" Type="http://schemas.openxmlformats.org/officeDocument/2006/relationships/hyperlink" Target="https://www.mouser.pl/ProductDetail/Texas-Instruments/SN74LVC14APWRG3?qs=sGAEpiMZZMuyBeSSR239IRGMQ%2FmyR%252BkFp%2FeMm8qJM3U%3D" TargetMode="External"/><Relationship Id="rId5" Type="http://schemas.openxmlformats.org/officeDocument/2006/relationships/hyperlink" Target="https://www.ti.com/lit/ds/symlink/amc3306m25.pdf?ts=1744716572560&amp;ref_url=https%253A%252F%252Fwww.ti.com%252Fproduct%252FAMC3306M25" TargetMode="External"/><Relationship Id="rId15" Type="http://schemas.openxmlformats.org/officeDocument/2006/relationships/hyperlink" Target="https://industrial.panasonic.com/cdbs/www-data/pdf/RDM0000/AOA0000C307.pdf" TargetMode="External"/><Relationship Id="rId23" Type="http://schemas.openxmlformats.org/officeDocument/2006/relationships/hyperlink" Target="https://www.mouser.pl/ProductDetail/STMicroelectronics/USBLC6-4SC6Y?qs=gNDSiZmRJS%252B5K%252Bxjl%252Bw9xw%3D%3D" TargetMode="External"/><Relationship Id="rId28" Type="http://schemas.openxmlformats.org/officeDocument/2006/relationships/hyperlink" Target="https://www.mouser.pl/datasheet/2/268/00001987A-3443048.pdf" TargetMode="External"/><Relationship Id="rId10" Type="http://schemas.openxmlformats.org/officeDocument/2006/relationships/hyperlink" Target="https://www.mouser.pl/ProductDetail/Wurth-Elektronik/691502710003?qs=3RJ0PdSuLVkj2fkNlWx2NA%3D%3D" TargetMode="External"/><Relationship Id="rId19" Type="http://schemas.openxmlformats.org/officeDocument/2006/relationships/hyperlink" Target="https://www.mouser.pl/ProductDetail/Microchip-Technology/DSC1001DI1-025.0000?qs=moDRE%2FDosU0aQZ7kAZYZlg%3D%3D" TargetMode="External"/><Relationship Id="rId31" Type="http://schemas.openxmlformats.org/officeDocument/2006/relationships/hyperlink" Target="https://www.ti.com/lit/ds/symlink/sn74lvc14a.pdf?ts=1746355189739&amp;ref_url=https%253A%252F%252Fwww.mouser.pl%252F" TargetMode="External"/><Relationship Id="rId4" Type="http://schemas.openxmlformats.org/officeDocument/2006/relationships/hyperlink" Target="https://www.mouser.pl/ProductDetail/Texas-Instruments/AMC3336DWER?qs=TuK3vfAjtkUFYNEetxZbpg%3D%3D" TargetMode="External"/><Relationship Id="rId9" Type="http://schemas.openxmlformats.org/officeDocument/2006/relationships/hyperlink" Target="https://www.we-online.com/components/products/datasheet/691502710003.pdf" TargetMode="External"/><Relationship Id="rId14" Type="http://schemas.openxmlformats.org/officeDocument/2006/relationships/hyperlink" Target="https://www.mouser.pl/ProductDetail/Panasonic/ERA-6AEB7153V?qs=sGAEpiMZZMvdGkrng054txAO1F77ZlZQmxHP4Kd%2FCCY%3D" TargetMode="External"/><Relationship Id="rId22" Type="http://schemas.openxmlformats.org/officeDocument/2006/relationships/hyperlink" Target="https://www.mouser.pl/datasheet/2/389/usblc6_4sc6y-1852703.pdf" TargetMode="External"/><Relationship Id="rId27" Type="http://schemas.openxmlformats.org/officeDocument/2006/relationships/hyperlink" Target="https://www.mouser.pl/ProductDetail/Microchip-Technology/LAN8740AI-EN-TR?qs=6qKXPk0vzx1pdBrIaNrUbA%3D%3D" TargetMode="External"/><Relationship Id="rId30" Type="http://schemas.openxmlformats.org/officeDocument/2006/relationships/hyperlink" Target="https://www.mouser.pl/ProductDetail/Vishay-Semiconductors/VO1400AEFTR?qs=sGAEpiMZZMvF1DT%2FiDLzVltfHthOMRa7FL75z3zZqbA%3D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www.mouser.pl/ProductDetail/STMicroelectronics/STM32H750VBT6?qs=%252BEew9%252B0nqrBAeuu%2FsQQSzQ%3D%3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pl/ProductDetail/Amphenol-Commercial-Products/RJHSE-5380?qs=rM3ofmSYd5RUaPrWD7oMhw%3D%3D" TargetMode="External"/><Relationship Id="rId2" Type="http://schemas.openxmlformats.org/officeDocument/2006/relationships/hyperlink" Target="https://www.mouser.pl/datasheet/2/268/00001987A-3443048.pdf" TargetMode="External"/><Relationship Id="rId1" Type="http://schemas.openxmlformats.org/officeDocument/2006/relationships/hyperlink" Target="https://www.ti.com/video/series/precision-labs/ti-precision-labs-ethernet.html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ww1.microchip.com/downloads/aemDocuments/documents/UNG/ProductDocuments/DesignChecklist/LAN8740AQFNRevASchematicChecklist.pdf" TargetMode="External"/><Relationship Id="rId4" Type="http://schemas.openxmlformats.org/officeDocument/2006/relationships/hyperlink" Target="https://www.mouser.pl/ProductDetail/ABRACON/ALANS100X1-2F10ET?qs=mAH9sUMRCttQXbNrFkUJng%3D%3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BF85-8004-449B-996F-5722CB702BF3}">
  <dimension ref="B2:F46"/>
  <sheetViews>
    <sheetView workbookViewId="0"/>
  </sheetViews>
  <sheetFormatPr defaultRowHeight="12.75"/>
  <cols>
    <col min="1" max="1" width="11.42578125" style="1" customWidth="1"/>
    <col min="2" max="2" width="53.28515625" style="1" customWidth="1"/>
    <col min="3" max="3" width="18.85546875" style="1" customWidth="1"/>
    <col min="4" max="4" width="12.5703125" style="1" customWidth="1"/>
    <col min="5" max="5" width="12.42578125" style="1" customWidth="1"/>
    <col min="6" max="6" width="45.42578125" style="1" customWidth="1"/>
    <col min="7" max="1023" width="11.42578125" style="1" customWidth="1"/>
    <col min="1024" max="1024" width="9.140625" style="1" customWidth="1"/>
    <col min="1025" max="16384" width="9.140625" style="1"/>
  </cols>
  <sheetData>
    <row r="2" spans="2:6">
      <c r="B2" s="2" t="s">
        <v>0</v>
      </c>
    </row>
    <row r="3" spans="2:6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2:6">
      <c r="B4" s="4" t="s">
        <v>6</v>
      </c>
      <c r="C4" s="5" t="s">
        <v>7</v>
      </c>
      <c r="D4" s="6" t="s">
        <v>3</v>
      </c>
      <c r="E4" s="7" t="s">
        <v>8</v>
      </c>
      <c r="F4" s="8"/>
    </row>
    <row r="5" spans="2:6" ht="25.5">
      <c r="B5" s="4" t="s">
        <v>9</v>
      </c>
      <c r="C5" s="5" t="s">
        <v>10</v>
      </c>
      <c r="D5" s="6" t="s">
        <v>11</v>
      </c>
      <c r="E5" s="7" t="s">
        <v>12</v>
      </c>
      <c r="F5" s="8"/>
    </row>
    <row r="6" spans="2:6" ht="38.25">
      <c r="B6" s="4" t="s">
        <v>13</v>
      </c>
      <c r="C6" s="5" t="s">
        <v>14</v>
      </c>
      <c r="D6" s="6" t="s">
        <v>11</v>
      </c>
      <c r="E6" s="7" t="s">
        <v>8</v>
      </c>
      <c r="F6" s="8"/>
    </row>
    <row r="7" spans="2:6">
      <c r="B7" s="4" t="s">
        <v>15</v>
      </c>
      <c r="C7" s="5" t="s">
        <v>16</v>
      </c>
      <c r="D7" s="6" t="s">
        <v>17</v>
      </c>
      <c r="E7" s="7" t="s">
        <v>8</v>
      </c>
      <c r="F7" s="8"/>
    </row>
    <row r="8" spans="2:6" ht="25.5">
      <c r="B8" s="4" t="s">
        <v>18</v>
      </c>
      <c r="C8" s="5" t="s">
        <v>16</v>
      </c>
      <c r="D8" s="6" t="s">
        <v>17</v>
      </c>
      <c r="E8" s="7" t="s">
        <v>8</v>
      </c>
      <c r="F8" s="8"/>
    </row>
    <row r="9" spans="2:6">
      <c r="B9" s="4" t="s">
        <v>19</v>
      </c>
      <c r="C9" s="5" t="s">
        <v>16</v>
      </c>
      <c r="D9" s="6" t="s">
        <v>17</v>
      </c>
      <c r="E9" s="7" t="s">
        <v>8</v>
      </c>
      <c r="F9" s="8"/>
    </row>
    <row r="10" spans="2:6" ht="25.5">
      <c r="B10" s="4" t="s">
        <v>20</v>
      </c>
      <c r="C10" s="5" t="s">
        <v>21</v>
      </c>
      <c r="D10" s="6" t="s">
        <v>11</v>
      </c>
      <c r="E10" s="7" t="s">
        <v>12</v>
      </c>
      <c r="F10" s="8"/>
    </row>
    <row r="11" spans="2:6" ht="25.5">
      <c r="B11" s="4" t="s">
        <v>22</v>
      </c>
      <c r="C11" s="5" t="s">
        <v>21</v>
      </c>
      <c r="D11" s="6" t="s">
        <v>11</v>
      </c>
      <c r="E11" s="7" t="s">
        <v>12</v>
      </c>
      <c r="F11" s="8"/>
    </row>
    <row r="12" spans="2:6" ht="25.5">
      <c r="B12" s="4" t="s">
        <v>23</v>
      </c>
      <c r="C12" s="5" t="s">
        <v>21</v>
      </c>
      <c r="D12" s="6" t="s">
        <v>11</v>
      </c>
      <c r="E12" s="7" t="s">
        <v>12</v>
      </c>
      <c r="F12" s="8"/>
    </row>
    <row r="13" spans="2:6" ht="25.5">
      <c r="B13" s="4" t="s">
        <v>24</v>
      </c>
      <c r="C13" s="5" t="s">
        <v>21</v>
      </c>
      <c r="D13" s="6" t="s">
        <v>11</v>
      </c>
      <c r="E13" s="7" t="s">
        <v>8</v>
      </c>
      <c r="F13" s="8"/>
    </row>
    <row r="14" spans="2:6" ht="25.5">
      <c r="B14" s="4" t="s">
        <v>25</v>
      </c>
      <c r="C14" s="5" t="s">
        <v>21</v>
      </c>
      <c r="D14" s="6" t="s">
        <v>11</v>
      </c>
      <c r="E14" s="7" t="s">
        <v>8</v>
      </c>
      <c r="F14" s="8"/>
    </row>
    <row r="15" spans="2:6" ht="38.25">
      <c r="B15" s="4" t="s">
        <v>26</v>
      </c>
      <c r="C15" s="5" t="s">
        <v>21</v>
      </c>
      <c r="D15" s="6" t="s">
        <v>11</v>
      </c>
      <c r="E15" s="7" t="s">
        <v>8</v>
      </c>
      <c r="F15" s="8"/>
    </row>
    <row r="16" spans="2:6" ht="25.5">
      <c r="B16" s="4" t="s">
        <v>27</v>
      </c>
      <c r="C16" s="5" t="s">
        <v>21</v>
      </c>
      <c r="D16" s="6" t="s">
        <v>11</v>
      </c>
      <c r="E16" s="7" t="s">
        <v>8</v>
      </c>
      <c r="F16" s="8"/>
    </row>
    <row r="17" spans="2:6" ht="25.5">
      <c r="B17" s="4" t="s">
        <v>28</v>
      </c>
      <c r="C17" s="5" t="s">
        <v>21</v>
      </c>
      <c r="D17" s="6" t="s">
        <v>11</v>
      </c>
      <c r="E17" s="7" t="s">
        <v>8</v>
      </c>
      <c r="F17" s="8"/>
    </row>
    <row r="18" spans="2:6" ht="25.5">
      <c r="B18" s="4" t="s">
        <v>29</v>
      </c>
      <c r="C18" s="5" t="s">
        <v>21</v>
      </c>
      <c r="D18" s="6" t="s">
        <v>11</v>
      </c>
      <c r="E18" s="7" t="s">
        <v>12</v>
      </c>
      <c r="F18" s="8"/>
    </row>
    <row r="19" spans="2:6" ht="25.5">
      <c r="B19" s="4" t="s">
        <v>30</v>
      </c>
      <c r="C19" s="5" t="s">
        <v>21</v>
      </c>
      <c r="D19" s="6" t="s">
        <v>11</v>
      </c>
      <c r="E19" s="7" t="s">
        <v>8</v>
      </c>
      <c r="F19" s="8"/>
    </row>
    <row r="20" spans="2:6" ht="25.5">
      <c r="B20" s="4" t="s">
        <v>31</v>
      </c>
      <c r="C20" s="5" t="s">
        <v>21</v>
      </c>
      <c r="D20" s="6" t="s">
        <v>11</v>
      </c>
      <c r="E20" s="7" t="s">
        <v>8</v>
      </c>
      <c r="F20" s="8"/>
    </row>
    <row r="21" spans="2:6" ht="25.5">
      <c r="B21" s="4" t="s">
        <v>32</v>
      </c>
      <c r="C21" s="5" t="s">
        <v>21</v>
      </c>
      <c r="D21" s="6" t="s">
        <v>11</v>
      </c>
      <c r="E21" s="7" t="s">
        <v>8</v>
      </c>
      <c r="F21" s="8"/>
    </row>
    <row r="22" spans="2:6" ht="25.5">
      <c r="B22" s="9" t="s">
        <v>33</v>
      </c>
      <c r="C22" s="10" t="s">
        <v>7</v>
      </c>
      <c r="D22" s="11" t="s">
        <v>11</v>
      </c>
      <c r="E22" s="12" t="s">
        <v>12</v>
      </c>
      <c r="F22" s="13"/>
    </row>
    <row r="23" spans="2:6" ht="25.5">
      <c r="B23" s="4" t="s">
        <v>34</v>
      </c>
      <c r="C23" s="5" t="s">
        <v>35</v>
      </c>
      <c r="D23" s="6" t="s">
        <v>11</v>
      </c>
      <c r="E23" s="7" t="s">
        <v>8</v>
      </c>
      <c r="F23" s="8"/>
    </row>
    <row r="24" spans="2:6" ht="25.5">
      <c r="B24" s="4" t="s">
        <v>36</v>
      </c>
      <c r="C24" s="5" t="s">
        <v>35</v>
      </c>
      <c r="D24" s="6" t="s">
        <v>11</v>
      </c>
      <c r="E24" s="7" t="s">
        <v>8</v>
      </c>
      <c r="F24" s="8"/>
    </row>
    <row r="25" spans="2:6" ht="25.5">
      <c r="B25" s="9" t="s">
        <v>37</v>
      </c>
      <c r="C25" s="10" t="s">
        <v>35</v>
      </c>
      <c r="D25" s="11" t="s">
        <v>11</v>
      </c>
      <c r="E25" s="12" t="s">
        <v>8</v>
      </c>
      <c r="F25" s="13"/>
    </row>
    <row r="26" spans="2:6">
      <c r="B26" s="14" t="s">
        <v>38</v>
      </c>
      <c r="C26" s="5" t="s">
        <v>16</v>
      </c>
      <c r="D26" s="15" t="s">
        <v>17</v>
      </c>
      <c r="E26" s="12" t="s">
        <v>8</v>
      </c>
      <c r="F26" s="14"/>
    </row>
    <row r="27" spans="2:6">
      <c r="B27" s="14"/>
      <c r="C27" s="14"/>
      <c r="D27" s="14"/>
      <c r="E27" s="14"/>
      <c r="F27" s="14"/>
    </row>
    <row r="28" spans="2:6">
      <c r="B28" s="14"/>
      <c r="C28" s="14"/>
      <c r="D28" s="14"/>
      <c r="E28" s="14"/>
      <c r="F28" s="14"/>
    </row>
    <row r="29" spans="2:6">
      <c r="B29" s="14"/>
      <c r="C29" s="14"/>
      <c r="D29" s="14"/>
      <c r="E29" s="14"/>
      <c r="F29" s="14"/>
    </row>
    <row r="30" spans="2:6">
      <c r="B30" s="14"/>
      <c r="C30" s="14"/>
      <c r="D30" s="14"/>
      <c r="E30" s="14"/>
      <c r="F30" s="14"/>
    </row>
    <row r="31" spans="2:6">
      <c r="B31" s="14"/>
      <c r="C31" s="14"/>
      <c r="D31" s="14"/>
      <c r="E31" s="14"/>
      <c r="F31" s="14"/>
    </row>
    <row r="32" spans="2:6">
      <c r="B32" s="14"/>
      <c r="C32" s="14"/>
      <c r="D32" s="14"/>
      <c r="E32" s="14"/>
      <c r="F32" s="14"/>
    </row>
    <row r="33" spans="2:6">
      <c r="B33" s="14"/>
      <c r="C33" s="14"/>
      <c r="D33" s="14"/>
      <c r="E33" s="14"/>
      <c r="F33" s="14"/>
    </row>
    <row r="34" spans="2:6">
      <c r="B34" s="14"/>
      <c r="C34" s="14"/>
      <c r="D34" s="14"/>
      <c r="E34" s="14"/>
      <c r="F34" s="14"/>
    </row>
    <row r="35" spans="2:6">
      <c r="B35" s="14"/>
      <c r="C35" s="14"/>
      <c r="D35" s="14"/>
      <c r="E35" s="14"/>
      <c r="F35" s="14"/>
    </row>
    <row r="36" spans="2:6">
      <c r="B36" s="14"/>
      <c r="C36" s="14"/>
      <c r="D36" s="14"/>
      <c r="E36" s="14"/>
      <c r="F36" s="14"/>
    </row>
    <row r="37" spans="2:6">
      <c r="B37" s="14"/>
      <c r="C37" s="14"/>
      <c r="D37" s="14"/>
      <c r="E37" s="14"/>
      <c r="F37" s="14"/>
    </row>
    <row r="38" spans="2:6">
      <c r="B38" s="14"/>
      <c r="C38" s="14"/>
      <c r="D38" s="14"/>
      <c r="E38" s="14"/>
      <c r="F38" s="14"/>
    </row>
    <row r="39" spans="2:6">
      <c r="B39" s="14"/>
      <c r="C39" s="14"/>
      <c r="D39" s="14"/>
      <c r="E39" s="14"/>
      <c r="F39" s="14"/>
    </row>
    <row r="40" spans="2:6">
      <c r="B40" s="14"/>
      <c r="C40" s="14"/>
      <c r="D40" s="14"/>
      <c r="E40" s="14"/>
      <c r="F40" s="14"/>
    </row>
    <row r="41" spans="2:6">
      <c r="B41" s="14"/>
      <c r="C41" s="14"/>
      <c r="D41" s="14"/>
      <c r="E41" s="14"/>
      <c r="F41" s="14"/>
    </row>
    <row r="42" spans="2:6">
      <c r="B42" s="14"/>
      <c r="C42" s="14"/>
      <c r="D42" s="14"/>
      <c r="E42" s="14"/>
      <c r="F42" s="14"/>
    </row>
    <row r="43" spans="2:6">
      <c r="B43" s="14"/>
      <c r="C43" s="14"/>
      <c r="D43" s="14"/>
      <c r="E43" s="14"/>
      <c r="F43" s="14"/>
    </row>
    <row r="44" spans="2:6">
      <c r="B44" s="14"/>
      <c r="C44" s="14"/>
      <c r="D44" s="14"/>
      <c r="E44" s="14"/>
      <c r="F44" s="14"/>
    </row>
    <row r="45" spans="2:6">
      <c r="B45" s="14"/>
      <c r="C45" s="14"/>
      <c r="D45" s="14"/>
      <c r="E45" s="14"/>
      <c r="F45" s="14"/>
    </row>
    <row r="46" spans="2:6">
      <c r="B46" s="14"/>
      <c r="C46" s="14"/>
      <c r="D46" s="14"/>
      <c r="E46" s="14"/>
      <c r="F46" s="14"/>
    </row>
  </sheetData>
  <conditionalFormatting sqref="E4:E46">
    <cfRule type="cellIs" dxfId="1" priority="1" stopIfTrue="1" operator="equal">
      <formula>"DONE"</formula>
    </cfRule>
    <cfRule type="cellIs" dxfId="0" priority="2" stopIfTrue="1" operator="equal">
      <formula>"TODO"</formula>
    </cfRule>
  </conditionalFormatting>
  <hyperlinks>
    <hyperlink ref="D4" r:id="rId1" xr:uid="{EE7F174A-E795-454B-8614-EE029357CAFC}"/>
    <hyperlink ref="D5" r:id="rId2" xr:uid="{11CB3616-E238-4EFA-A07A-E480377FE3B1}"/>
    <hyperlink ref="D6" r:id="rId3" xr:uid="{1143AE20-6F96-437A-8C68-081C1E8AC88B}"/>
    <hyperlink ref="D7" r:id="rId4" xr:uid="{676A5220-E36F-4880-963B-2CECCEEF36CA}"/>
    <hyperlink ref="D8" r:id="rId5" xr:uid="{7E997C0C-C05B-47CF-91C1-75E5B2E4A236}"/>
    <hyperlink ref="D9" r:id="rId6" xr:uid="{B81F42B6-A918-4125-AD62-2E549FF87EA0}"/>
    <hyperlink ref="D10" r:id="rId7" xr:uid="{0A715F34-0026-4C1E-A831-0637D1E452C7}"/>
    <hyperlink ref="D11" r:id="rId8" xr:uid="{A10E9B3C-AFB8-43CA-B544-1A5D2F46ED29}"/>
    <hyperlink ref="D12" r:id="rId9" xr:uid="{8939635C-0123-4816-AE10-19BECFFAB74A}"/>
    <hyperlink ref="D13" r:id="rId10" xr:uid="{F99FB0E7-D2FF-4991-9E53-86A92D247696}"/>
    <hyperlink ref="D14" r:id="rId11" xr:uid="{2CEDDF73-0529-4343-B6F3-9E7B7172E171}"/>
    <hyperlink ref="D15" r:id="rId12" xr:uid="{A06EF564-1C1F-4599-910B-5D35DFC37857}"/>
    <hyperlink ref="D16" r:id="rId13" xr:uid="{8C812A26-5E85-4D55-86F5-279BEFECAF14}"/>
    <hyperlink ref="D17" r:id="rId14" xr:uid="{31C62C71-C853-4F6F-8111-5350083D5754}"/>
    <hyperlink ref="D18" r:id="rId15" xr:uid="{5AD76226-4C5B-45E7-BE73-FDFA21072E57}"/>
    <hyperlink ref="D19" r:id="rId16" xr:uid="{6E25FDC3-0E49-49AA-9CE6-93447BE049F9}"/>
    <hyperlink ref="D20" r:id="rId17" xr:uid="{0B6BBF61-88B3-4378-9E17-DDD008EA1BDD}"/>
    <hyperlink ref="D21" r:id="rId18" xr:uid="{4751EA2E-A720-44D8-AB66-3D14829B0AEC}"/>
    <hyperlink ref="D22" r:id="rId19" xr:uid="{CA69BDE8-839F-48CF-BCF3-819A5D608C6F}"/>
    <hyperlink ref="D23" r:id="rId20" xr:uid="{D11C9D7E-558A-42B2-8D24-6CCD5333FF69}"/>
    <hyperlink ref="D24" r:id="rId21" xr:uid="{3692E8FA-6B2D-46C7-819D-50D056142D61}"/>
    <hyperlink ref="D25" r:id="rId22" xr:uid="{4EB15A7E-69A3-4C1D-B1DE-13B8C36D923B}"/>
    <hyperlink ref="D26" r:id="rId23" xr:uid="{A5DCA629-D90A-4C69-85E7-6EEA3F5A6316}"/>
  </hyperlink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7383-075A-467C-878A-4FF37641F5A2}">
  <dimension ref="B2:F112"/>
  <sheetViews>
    <sheetView topLeftCell="A33" workbookViewId="0">
      <selection activeCell="I78" sqref="I77:I78"/>
    </sheetView>
  </sheetViews>
  <sheetFormatPr defaultRowHeight="12.75"/>
  <cols>
    <col min="1" max="1" width="12.140625" style="1" customWidth="1"/>
    <col min="2" max="2" width="17.28515625" style="1" customWidth="1"/>
    <col min="3" max="3" width="24.42578125" style="1" customWidth="1"/>
    <col min="4" max="4" width="14.42578125" style="1" customWidth="1"/>
    <col min="5" max="5" width="28.5703125" style="1" customWidth="1"/>
    <col min="6" max="6" width="15.5703125" style="1" customWidth="1"/>
    <col min="7" max="7" width="9.140625" style="1" customWidth="1"/>
    <col min="8" max="16384" width="9.140625" style="1"/>
  </cols>
  <sheetData>
    <row r="2" spans="2:6" ht="13.35" customHeight="1"/>
    <row r="3" spans="2:6">
      <c r="B3" s="1" t="s">
        <v>39</v>
      </c>
    </row>
    <row r="4" spans="2:6">
      <c r="C4" s="1" t="s">
        <v>40</v>
      </c>
    </row>
    <row r="5" spans="2:6">
      <c r="C5" s="1" t="s">
        <v>41</v>
      </c>
    </row>
    <row r="6" spans="2:6">
      <c r="C6" s="1" t="s">
        <v>42</v>
      </c>
    </row>
    <row r="7" spans="2:6">
      <c r="C7" s="1" t="s">
        <v>43</v>
      </c>
      <c r="E7" s="16" t="s">
        <v>44</v>
      </c>
    </row>
    <row r="8" spans="2:6">
      <c r="C8" s="1" t="s">
        <v>45</v>
      </c>
    </row>
    <row r="12" spans="2:6">
      <c r="B12" s="17" t="s">
        <v>46</v>
      </c>
      <c r="C12" s="18" t="s">
        <v>47</v>
      </c>
    </row>
    <row r="15" spans="2:6">
      <c r="F15" s="3" t="s">
        <v>48</v>
      </c>
    </row>
    <row r="16" spans="2:6">
      <c r="F16" s="19">
        <f>SUM(F19:F35)</f>
        <v>155.71</v>
      </c>
    </row>
    <row r="18" spans="2:6">
      <c r="B18" s="20" t="s">
        <v>2</v>
      </c>
      <c r="C18" s="21" t="s">
        <v>49</v>
      </c>
      <c r="D18" s="21" t="s">
        <v>50</v>
      </c>
      <c r="E18" s="21" t="s">
        <v>51</v>
      </c>
      <c r="F18" s="21" t="s">
        <v>52</v>
      </c>
    </row>
    <row r="19" spans="2:6">
      <c r="B19" s="22" t="s">
        <v>53</v>
      </c>
      <c r="C19" s="5" t="s">
        <v>54</v>
      </c>
      <c r="D19" s="7" t="s">
        <v>3</v>
      </c>
      <c r="E19" s="7" t="s">
        <v>55</v>
      </c>
      <c r="F19" s="23">
        <v>35</v>
      </c>
    </row>
    <row r="20" spans="2:6">
      <c r="B20" s="24" t="s">
        <v>56</v>
      </c>
      <c r="C20" s="5" t="s">
        <v>57</v>
      </c>
      <c r="D20" s="7" t="s">
        <v>3</v>
      </c>
      <c r="E20" s="7" t="s">
        <v>58</v>
      </c>
      <c r="F20" s="23">
        <v>31.7</v>
      </c>
    </row>
    <row r="21" spans="2:6">
      <c r="B21" s="22" t="s">
        <v>59</v>
      </c>
      <c r="C21" s="7" t="s">
        <v>60</v>
      </c>
      <c r="D21" s="7" t="s">
        <v>3</v>
      </c>
      <c r="E21" s="5" t="s">
        <v>61</v>
      </c>
      <c r="F21" s="23">
        <v>36.700000000000003</v>
      </c>
    </row>
    <row r="22" spans="2:6">
      <c r="B22" s="22" t="s">
        <v>62</v>
      </c>
      <c r="C22" s="25">
        <v>691502710003</v>
      </c>
      <c r="D22" s="15" t="s">
        <v>3</v>
      </c>
      <c r="E22" s="15" t="s">
        <v>63</v>
      </c>
      <c r="F22" s="19">
        <v>4.21</v>
      </c>
    </row>
    <row r="23" spans="2:6">
      <c r="B23" s="22" t="s">
        <v>64</v>
      </c>
      <c r="C23" s="25" t="s">
        <v>65</v>
      </c>
      <c r="D23" s="15" t="s">
        <v>3</v>
      </c>
      <c r="E23" s="15" t="s">
        <v>66</v>
      </c>
      <c r="F23" s="19">
        <v>2</v>
      </c>
    </row>
    <row r="24" spans="2:6">
      <c r="B24" s="7" t="s">
        <v>67</v>
      </c>
      <c r="C24" s="26" t="s">
        <v>68</v>
      </c>
      <c r="D24" s="27" t="s">
        <v>3</v>
      </c>
      <c r="E24" s="27" t="s">
        <v>69</v>
      </c>
      <c r="F24" s="28">
        <v>2</v>
      </c>
    </row>
    <row r="25" spans="2:6">
      <c r="B25" s="24" t="s">
        <v>70</v>
      </c>
      <c r="C25" s="7" t="s">
        <v>71</v>
      </c>
      <c r="D25" s="6" t="s">
        <v>3</v>
      </c>
      <c r="E25" s="6" t="s">
        <v>72</v>
      </c>
      <c r="F25" s="23">
        <v>0.5</v>
      </c>
    </row>
    <row r="26" spans="2:6">
      <c r="B26" s="22" t="s">
        <v>73</v>
      </c>
      <c r="C26" s="7" t="s">
        <v>74</v>
      </c>
      <c r="D26" s="6" t="s">
        <v>3</v>
      </c>
      <c r="E26" s="29" t="s">
        <v>75</v>
      </c>
      <c r="F26" s="23">
        <v>3</v>
      </c>
    </row>
    <row r="27" spans="2:6">
      <c r="B27" s="22" t="s">
        <v>76</v>
      </c>
      <c r="C27" s="7" t="s">
        <v>77</v>
      </c>
      <c r="D27" s="6" t="s">
        <v>3</v>
      </c>
      <c r="E27" s="29" t="s">
        <v>78</v>
      </c>
      <c r="F27" s="23">
        <v>3</v>
      </c>
    </row>
    <row r="28" spans="2:6">
      <c r="B28" s="22" t="s">
        <v>79</v>
      </c>
      <c r="C28" s="30" t="s">
        <v>80</v>
      </c>
      <c r="D28" s="6" t="s">
        <v>3</v>
      </c>
      <c r="E28" s="29" t="s">
        <v>81</v>
      </c>
      <c r="F28" s="23">
        <v>3</v>
      </c>
    </row>
    <row r="29" spans="2:6">
      <c r="B29" s="7" t="s">
        <v>82</v>
      </c>
      <c r="C29" s="7" t="s">
        <v>83</v>
      </c>
      <c r="D29" s="6" t="s">
        <v>3</v>
      </c>
      <c r="E29" s="29" t="s">
        <v>84</v>
      </c>
      <c r="F29" s="23">
        <v>1.5</v>
      </c>
    </row>
    <row r="30" spans="2:6">
      <c r="B30" s="7" t="s">
        <v>85</v>
      </c>
      <c r="C30" s="7" t="s">
        <v>86</v>
      </c>
      <c r="D30" s="6" t="s">
        <v>3</v>
      </c>
      <c r="E30" s="6" t="s">
        <v>87</v>
      </c>
      <c r="F30" s="23">
        <v>1</v>
      </c>
    </row>
    <row r="31" spans="2:6">
      <c r="B31" s="7" t="s">
        <v>88</v>
      </c>
      <c r="C31" s="7" t="s">
        <v>89</v>
      </c>
      <c r="D31" s="6" t="s">
        <v>3</v>
      </c>
      <c r="E31" s="31" t="s">
        <v>90</v>
      </c>
      <c r="F31" s="23">
        <v>10</v>
      </c>
    </row>
    <row r="32" spans="2:6">
      <c r="B32" s="7" t="s">
        <v>91</v>
      </c>
      <c r="C32" s="32" t="s">
        <v>92</v>
      </c>
      <c r="D32" s="6" t="s">
        <v>3</v>
      </c>
      <c r="E32" s="6" t="s">
        <v>93</v>
      </c>
      <c r="F32" s="23">
        <v>9</v>
      </c>
    </row>
    <row r="33" spans="2:6">
      <c r="B33" s="7" t="s">
        <v>94</v>
      </c>
      <c r="C33" s="7" t="s">
        <v>95</v>
      </c>
      <c r="D33" s="15" t="s">
        <v>3</v>
      </c>
      <c r="E33" s="15" t="s">
        <v>96</v>
      </c>
      <c r="F33" s="23">
        <v>9</v>
      </c>
    </row>
    <row r="34" spans="2:6">
      <c r="B34" s="7" t="s">
        <v>97</v>
      </c>
      <c r="C34" s="7" t="s">
        <v>98</v>
      </c>
      <c r="D34" s="15" t="s">
        <v>3</v>
      </c>
      <c r="E34" s="15" t="s">
        <v>99</v>
      </c>
      <c r="F34" s="23">
        <v>1.6</v>
      </c>
    </row>
    <row r="35" spans="2:6">
      <c r="B35" s="7" t="s">
        <v>100</v>
      </c>
      <c r="C35" s="25" t="s">
        <v>101</v>
      </c>
      <c r="D35" s="15" t="s">
        <v>102</v>
      </c>
      <c r="E35" s="15" t="s">
        <v>103</v>
      </c>
      <c r="F35" s="23">
        <v>2.5</v>
      </c>
    </row>
    <row r="36" spans="2:6">
      <c r="B36" s="7"/>
      <c r="C36" s="7"/>
      <c r="D36" s="15"/>
      <c r="E36" s="15"/>
      <c r="F36" s="23"/>
    </row>
    <row r="47" spans="2:6">
      <c r="B47" s="2" t="s">
        <v>104</v>
      </c>
    </row>
    <row r="56" spans="2:6">
      <c r="E56" s="33" t="s">
        <v>105</v>
      </c>
    </row>
    <row r="57" spans="2:6">
      <c r="B57" s="33" t="s">
        <v>106</v>
      </c>
      <c r="C57" s="1">
        <v>320</v>
      </c>
      <c r="D57" s="1" t="s">
        <v>107</v>
      </c>
      <c r="E57" s="1">
        <v>320</v>
      </c>
      <c r="F57" s="1" t="s">
        <v>107</v>
      </c>
    </row>
    <row r="58" spans="2:6">
      <c r="B58" s="33" t="s">
        <v>108</v>
      </c>
      <c r="C58" s="1">
        <v>250</v>
      </c>
      <c r="D58" s="1" t="s">
        <v>107</v>
      </c>
      <c r="E58" s="1">
        <v>250</v>
      </c>
      <c r="F58" s="1" t="s">
        <v>107</v>
      </c>
    </row>
    <row r="59" spans="2:6">
      <c r="B59" s="33" t="s">
        <v>109</v>
      </c>
      <c r="C59" s="2">
        <v>240</v>
      </c>
      <c r="D59" s="1" t="s">
        <v>107</v>
      </c>
      <c r="E59" s="2">
        <v>240</v>
      </c>
      <c r="F59" s="1" t="s">
        <v>107</v>
      </c>
    </row>
    <row r="61" spans="2:6">
      <c r="B61" s="33" t="s">
        <v>110</v>
      </c>
      <c r="C61" s="2">
        <v>10</v>
      </c>
      <c r="D61" s="1" t="s">
        <v>111</v>
      </c>
      <c r="E61" s="1">
        <f>E59/E64</f>
        <v>9.6</v>
      </c>
      <c r="F61" s="1" t="s">
        <v>111</v>
      </c>
    </row>
    <row r="62" spans="2:6">
      <c r="B62" s="33" t="s">
        <v>112</v>
      </c>
      <c r="C62" s="34">
        <f>C57/C64</f>
        <v>13.333333333333334</v>
      </c>
      <c r="D62" s="1" t="s">
        <v>111</v>
      </c>
      <c r="E62" s="1">
        <f>E57/E64</f>
        <v>12.8</v>
      </c>
      <c r="F62" s="1" t="s">
        <v>111</v>
      </c>
    </row>
    <row r="64" spans="2:6">
      <c r="B64" s="33" t="s">
        <v>113</v>
      </c>
      <c r="C64" s="1">
        <f>C59/C61</f>
        <v>24</v>
      </c>
      <c r="D64" s="1" t="s">
        <v>114</v>
      </c>
      <c r="E64" s="2">
        <v>25</v>
      </c>
      <c r="F64" s="1" t="s">
        <v>114</v>
      </c>
    </row>
    <row r="65" spans="2:6">
      <c r="B65" s="33" t="s">
        <v>115</v>
      </c>
      <c r="C65" s="1">
        <f>C61*C61*C64/1000</f>
        <v>2.4</v>
      </c>
      <c r="D65" s="1" t="s">
        <v>116</v>
      </c>
      <c r="E65" s="1">
        <f>E61*E61*E64/1000</f>
        <v>2.3039999999999998</v>
      </c>
      <c r="F65" s="1" t="s">
        <v>116</v>
      </c>
    </row>
    <row r="69" spans="2:6">
      <c r="B69" s="2" t="s">
        <v>117</v>
      </c>
    </row>
    <row r="100" spans="2:6">
      <c r="B100" s="2" t="s">
        <v>118</v>
      </c>
      <c r="E100" s="33" t="s">
        <v>105</v>
      </c>
    </row>
    <row r="102" spans="2:6">
      <c r="B102" s="33" t="s">
        <v>119</v>
      </c>
      <c r="C102" s="2">
        <v>1</v>
      </c>
      <c r="D102" s="1" t="s">
        <v>111</v>
      </c>
      <c r="E102" s="35">
        <f>903/E103 + 0.0112</f>
        <v>0.91420000000000001</v>
      </c>
      <c r="F102" s="1" t="s">
        <v>111</v>
      </c>
    </row>
    <row r="103" spans="2:6">
      <c r="B103" s="33" t="s">
        <v>120</v>
      </c>
      <c r="C103" s="34">
        <f>903/(C102-0.0112)</f>
        <v>913.22815533980577</v>
      </c>
      <c r="D103" s="1" t="s">
        <v>121</v>
      </c>
      <c r="E103" s="2">
        <v>1000</v>
      </c>
      <c r="F103" s="1" t="s">
        <v>121</v>
      </c>
    </row>
    <row r="105" spans="2:6">
      <c r="B105" s="33" t="s">
        <v>122</v>
      </c>
      <c r="C105" s="1">
        <v>2</v>
      </c>
      <c r="D105" s="1" t="s">
        <v>123</v>
      </c>
      <c r="E105" s="34">
        <f>1.2*(E108+E109+E110)/(E109+E110)</f>
        <v>2.0005665722379606</v>
      </c>
      <c r="F105" s="1" t="s">
        <v>123</v>
      </c>
    </row>
    <row r="106" spans="2:6">
      <c r="B106" s="33" t="s">
        <v>124</v>
      </c>
      <c r="C106" s="1">
        <v>6</v>
      </c>
      <c r="D106" s="1" t="s">
        <v>123</v>
      </c>
      <c r="E106" s="34">
        <f>1.2*(E108+E109+E110)/E110</f>
        <v>6.0102127659574469</v>
      </c>
      <c r="F106" s="1" t="s">
        <v>123</v>
      </c>
    </row>
    <row r="108" spans="2:6">
      <c r="B108" s="33" t="s">
        <v>125</v>
      </c>
      <c r="C108" s="34">
        <f>C112-C109</f>
        <v>94</v>
      </c>
      <c r="D108" s="1" t="s">
        <v>121</v>
      </c>
      <c r="E108" s="2">
        <v>94.2</v>
      </c>
      <c r="F108" s="1" t="s">
        <v>121</v>
      </c>
    </row>
    <row r="109" spans="2:6">
      <c r="B109" s="33" t="s">
        <v>126</v>
      </c>
      <c r="C109" s="34">
        <f>1.2*(C112+C110)/C105-C110</f>
        <v>94</v>
      </c>
      <c r="D109" s="1" t="s">
        <v>121</v>
      </c>
      <c r="E109" s="2">
        <v>94.2</v>
      </c>
      <c r="F109" s="1" t="s">
        <v>121</v>
      </c>
    </row>
    <row r="110" spans="2:6">
      <c r="B110" s="33" t="s">
        <v>127</v>
      </c>
      <c r="C110" s="2">
        <v>47</v>
      </c>
      <c r="D110" s="1" t="s">
        <v>121</v>
      </c>
      <c r="E110" s="2">
        <v>47</v>
      </c>
      <c r="F110" s="1" t="s">
        <v>121</v>
      </c>
    </row>
    <row r="112" spans="2:6">
      <c r="B112" s="33" t="s">
        <v>128</v>
      </c>
      <c r="C112" s="34">
        <f>(C106/1.2 - 1)*C110</f>
        <v>188</v>
      </c>
      <c r="D112" s="1" t="s">
        <v>121</v>
      </c>
      <c r="E112" s="1">
        <f>E109+E108</f>
        <v>188.4</v>
      </c>
      <c r="F112" s="1" t="s">
        <v>121</v>
      </c>
    </row>
  </sheetData>
  <hyperlinks>
    <hyperlink ref="E7" r:id="rId1" xr:uid="{869AF681-BA14-4BEE-9C3F-DFC862B70A07}"/>
    <hyperlink ref="B12" r:id="rId2" xr:uid="{016C060C-DBFD-40F1-93A6-250334FB1BED}"/>
    <hyperlink ref="D19" r:id="rId3" xr:uid="{67918586-7F0A-4217-9519-0E55DB908B44}"/>
    <hyperlink ref="E19" r:id="rId4" xr:uid="{F211BA8A-DC0A-4C06-8322-D32365A282FB}"/>
    <hyperlink ref="D20" r:id="rId5" xr:uid="{0698E1E9-5E50-4A4B-B1DD-EE0CE426299F}"/>
    <hyperlink ref="E20" r:id="rId6" xr:uid="{09FE56AF-469C-458F-99A5-960E25B2A4D4}"/>
    <hyperlink ref="D21" r:id="rId7" xr:uid="{E78C1B83-2F95-4CA6-96D7-7F38C001D461}"/>
    <hyperlink ref="E21" r:id="rId8" xr:uid="{758F6A6E-319F-4ED6-9816-99DE3968A6CA}"/>
    <hyperlink ref="D22" r:id="rId9" xr:uid="{2E183508-D346-439F-B405-420CA00CF0A8}"/>
    <hyperlink ref="E22" r:id="rId10" xr:uid="{DF006996-B9BA-40B8-BDB5-8B039739B1E9}"/>
    <hyperlink ref="D23" r:id="rId11" xr:uid="{2E746528-13C3-4D79-B2B6-745AF6044B71}"/>
    <hyperlink ref="E23" r:id="rId12" xr:uid="{1E59A42B-3F87-47CB-8E46-6A2620A71721}"/>
    <hyperlink ref="D24" r:id="rId13" xr:uid="{9B6BEA38-D2A0-4375-A40D-9D762CA2A679}"/>
    <hyperlink ref="E24" r:id="rId14" xr:uid="{9E2B153A-B797-4D1D-B711-AB7D10E116FF}"/>
    <hyperlink ref="D25" r:id="rId15" xr:uid="{4E6D4E51-E369-4443-8B0B-BC4C8E4EF358}"/>
    <hyperlink ref="E25" r:id="rId16" xr:uid="{E435B920-5123-446D-8C34-C0D57AE777AB}"/>
    <hyperlink ref="D26" r:id="rId17" xr:uid="{F4BC5C81-9FB6-445F-B6C4-8BD48C2323A1}"/>
    <hyperlink ref="D27" r:id="rId18" xr:uid="{D4037DCE-9CE4-4962-9BB8-F690475D1520}"/>
    <hyperlink ref="E27" r:id="rId19" xr:uid="{396FFD7A-4D2E-4AED-BE2C-4EFD25D98E5D}"/>
    <hyperlink ref="D28" r:id="rId20" xr:uid="{C6614492-8757-4585-A288-AD6BFBA7E7BA}"/>
    <hyperlink ref="E28" r:id="rId21" xr:uid="{1F7260B0-7960-401C-A348-26109E487DE0}"/>
    <hyperlink ref="D29" r:id="rId22" xr:uid="{CC069D51-0CA7-402C-8BAA-1F4EE33A56A0}"/>
    <hyperlink ref="E29" r:id="rId23" xr:uid="{2993BB94-8FB7-40A3-8EB1-45B21FA3E81D}"/>
    <hyperlink ref="D30" r:id="rId24" xr:uid="{515388CA-CE03-43FB-8386-FB6A077A24CE}"/>
    <hyperlink ref="E30" r:id="rId25" xr:uid="{B5AAEFCA-45B7-4913-A9FD-50D90F756232}"/>
    <hyperlink ref="D31" r:id="rId26" xr:uid="{890B7CFA-858D-4DF5-8060-87E7AE393B43}"/>
    <hyperlink ref="D32" r:id="rId27" xr:uid="{36E5FB48-5F52-41C4-A896-3194E48D1F56}"/>
    <hyperlink ref="E32" r:id="rId28" xr:uid="{039368E4-492C-4A23-B3BC-01BB5A3EF044}"/>
    <hyperlink ref="D33" r:id="rId29" xr:uid="{53EB6E2D-8534-41B0-A688-888763CFD90D}"/>
    <hyperlink ref="E33" r:id="rId30" xr:uid="{44FFF050-71E9-46A5-93E4-D0F5362BE5AB}"/>
    <hyperlink ref="D34" r:id="rId31" xr:uid="{4EC616F3-9EF4-4306-99F0-3F4B4528A24C}"/>
    <hyperlink ref="E34" r:id="rId32" xr:uid="{808DEF70-AE44-4A0F-935F-ED2924B3D44B}"/>
    <hyperlink ref="D35" r:id="rId33" xr:uid="{7E393E52-A910-4943-A4F5-4D0626B0D2FA}"/>
    <hyperlink ref="E35" r:id="rId34" xr:uid="{B6FB7DD7-AF76-4422-BE32-5F8B58320DCD}"/>
  </hyperlinks>
  <pageMargins left="0" right="0" top="0.39370000000000005" bottom="0.39370000000000005" header="0" footer="0"/>
  <pageSetup paperSize="0" fitToWidth="0" fitToHeight="0" pageOrder="overThenDown" orientation="portrait" horizontalDpi="0" verticalDpi="0" copies="0"/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8376-0580-4CE0-B7D5-03D23BB8EE75}">
  <dimension ref="A1:B3"/>
  <sheetViews>
    <sheetView workbookViewId="0"/>
  </sheetViews>
  <sheetFormatPr defaultRowHeight="12.75"/>
  <cols>
    <col min="1" max="2" width="12.140625" customWidth="1"/>
    <col min="3" max="3" width="9.140625" customWidth="1"/>
  </cols>
  <sheetData>
    <row r="1" spans="1:2">
      <c r="A1" s="1"/>
      <c r="B1" s="1"/>
    </row>
    <row r="2" spans="1:2">
      <c r="A2" s="1"/>
      <c r="B2" s="1" t="s">
        <v>129</v>
      </c>
    </row>
    <row r="3" spans="1:2">
      <c r="A3" s="1"/>
      <c r="B3" s="1"/>
    </row>
  </sheetData>
  <pageMargins left="0" right="0" top="0.39370000000000005" bottom="0.39370000000000005" header="0" footer="0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AA54-5504-4EBA-AFE8-4CE9BABF315F}">
  <dimension ref="C6:D56"/>
  <sheetViews>
    <sheetView workbookViewId="0">
      <selection activeCell="W7" sqref="W7"/>
    </sheetView>
  </sheetViews>
  <sheetFormatPr defaultRowHeight="12.75"/>
  <cols>
    <col min="1" max="1" width="9.140625" customWidth="1"/>
  </cols>
  <sheetData>
    <row r="6" spans="4:4">
      <c r="D6" s="16" t="s">
        <v>44</v>
      </c>
    </row>
    <row r="12" spans="4:4">
      <c r="D12" s="16" t="s">
        <v>130</v>
      </c>
    </row>
    <row r="13" spans="4:4">
      <c r="D13" s="16" t="s">
        <v>131</v>
      </c>
    </row>
    <row r="14" spans="4:4">
      <c r="D14" s="16" t="s">
        <v>132</v>
      </c>
    </row>
    <row r="54" spans="3:3">
      <c r="C54" s="36" t="s">
        <v>133</v>
      </c>
    </row>
    <row r="56" spans="3:3">
      <c r="C56" s="16" t="s">
        <v>134</v>
      </c>
    </row>
  </sheetData>
  <hyperlinks>
    <hyperlink ref="D6" r:id="rId1" xr:uid="{9E2F8E1A-7CD2-42FA-8495-EEFC8F5867F9}"/>
    <hyperlink ref="D12" r:id="rId2" xr:uid="{3209CDC4-5B1D-4926-A461-338162778ECC}"/>
    <hyperlink ref="D13" r:id="rId3" xr:uid="{F13A6284-41D4-4B21-B78C-FA8514078850}"/>
    <hyperlink ref="D14" r:id="rId4" xr:uid="{31275B75-AE27-49DA-B9EF-FAE04AB7095D}"/>
    <hyperlink ref="C56" r:id="rId5" xr:uid="{18E0D2AF-AA0C-4043-B074-F39FDB1C9D51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FE03-7AA3-474B-8816-F63D52F64C63}">
  <dimension ref="C4:AD22"/>
  <sheetViews>
    <sheetView tabSelected="1" workbookViewId="0">
      <selection activeCell="U22" sqref="U22"/>
    </sheetView>
  </sheetViews>
  <sheetFormatPr defaultRowHeight="12.75"/>
  <cols>
    <col min="3" max="3" width="14" customWidth="1"/>
    <col min="4" max="4" width="10.28515625" customWidth="1"/>
    <col min="6" max="6" width="4.85546875" customWidth="1"/>
    <col min="7" max="7" width="13.5703125" customWidth="1"/>
    <col min="8" max="8" width="9.7109375" bestFit="1" customWidth="1"/>
    <col min="11" max="11" width="11" customWidth="1"/>
    <col min="12" max="12" width="10" bestFit="1" customWidth="1"/>
    <col min="23" max="23" width="13.85546875" customWidth="1"/>
  </cols>
  <sheetData>
    <row r="4" spans="3:30">
      <c r="R4" t="s">
        <v>156</v>
      </c>
    </row>
    <row r="5" spans="3:30">
      <c r="R5" t="s">
        <v>157</v>
      </c>
      <c r="W5" t="s">
        <v>159</v>
      </c>
      <c r="X5" t="s">
        <v>160</v>
      </c>
      <c r="Y5" t="s">
        <v>163</v>
      </c>
      <c r="Z5" t="s">
        <v>164</v>
      </c>
      <c r="AC5" t="s">
        <v>161</v>
      </c>
      <c r="AD5">
        <f>SUM(X6:X18)</f>
        <v>0.18055555555555558</v>
      </c>
    </row>
    <row r="6" spans="3:30">
      <c r="R6" t="s">
        <v>158</v>
      </c>
      <c r="W6">
        <v>40</v>
      </c>
      <c r="X6">
        <f>1/W6</f>
        <v>2.5000000000000001E-2</v>
      </c>
      <c r="Y6" s="37">
        <f>H$13*AD$6/W6</f>
        <v>2.2153846153846151</v>
      </c>
      <c r="Z6">
        <f>Y6*Y6*W6/1000</f>
        <v>0.19631715976331354</v>
      </c>
      <c r="AC6" t="s">
        <v>162</v>
      </c>
      <c r="AD6">
        <f>1/AD5</f>
        <v>5.5384615384615374</v>
      </c>
    </row>
    <row r="7" spans="3:30">
      <c r="W7">
        <v>40</v>
      </c>
      <c r="X7">
        <f t="shared" ref="X7:X16" si="0">1/W7</f>
        <v>2.5000000000000001E-2</v>
      </c>
      <c r="Y7" s="37">
        <f t="shared" ref="Y7:Y12" si="1">H$13*AD$6/W7</f>
        <v>2.2153846153846151</v>
      </c>
      <c r="Z7">
        <f t="shared" ref="Z7:Z12" si="2">Y7*Y7*W7/1000</f>
        <v>0.19631715976331354</v>
      </c>
    </row>
    <row r="8" spans="3:30">
      <c r="W8">
        <v>40</v>
      </c>
      <c r="X8">
        <f t="shared" si="0"/>
        <v>2.5000000000000001E-2</v>
      </c>
      <c r="Y8" s="37">
        <f t="shared" si="1"/>
        <v>2.2153846153846151</v>
      </c>
      <c r="Z8">
        <f t="shared" si="2"/>
        <v>0.19631715976331354</v>
      </c>
    </row>
    <row r="9" spans="3:30">
      <c r="W9">
        <v>40</v>
      </c>
      <c r="X9">
        <f t="shared" si="0"/>
        <v>2.5000000000000001E-2</v>
      </c>
      <c r="Y9" s="37">
        <f t="shared" si="1"/>
        <v>2.2153846153846151</v>
      </c>
      <c r="Z9">
        <f t="shared" si="2"/>
        <v>0.19631715976331354</v>
      </c>
    </row>
    <row r="10" spans="3:30">
      <c r="W10">
        <v>40</v>
      </c>
      <c r="X10">
        <f t="shared" si="0"/>
        <v>2.5000000000000001E-2</v>
      </c>
      <c r="Y10" s="37">
        <f t="shared" si="1"/>
        <v>2.2153846153846151</v>
      </c>
      <c r="Z10">
        <f t="shared" si="2"/>
        <v>0.19631715976331354</v>
      </c>
    </row>
    <row r="11" spans="3:30">
      <c r="W11">
        <v>36</v>
      </c>
      <c r="X11">
        <f t="shared" si="0"/>
        <v>2.7777777777777776E-2</v>
      </c>
      <c r="Y11" s="37">
        <f t="shared" si="1"/>
        <v>2.4615384615384612</v>
      </c>
      <c r="Z11">
        <f t="shared" si="2"/>
        <v>0.21813017751479283</v>
      </c>
    </row>
    <row r="12" spans="3:30">
      <c r="C12" s="38" t="s">
        <v>135</v>
      </c>
      <c r="D12">
        <v>0.25</v>
      </c>
      <c r="E12" t="s">
        <v>123</v>
      </c>
      <c r="W12">
        <v>36</v>
      </c>
      <c r="X12">
        <f t="shared" si="0"/>
        <v>2.7777777777777776E-2</v>
      </c>
      <c r="Y12" s="37">
        <f t="shared" si="1"/>
        <v>2.4615384615384612</v>
      </c>
      <c r="Z12">
        <f t="shared" si="2"/>
        <v>0.21813017751479283</v>
      </c>
    </row>
    <row r="13" spans="3:30">
      <c r="C13" s="38" t="s">
        <v>136</v>
      </c>
      <c r="D13">
        <v>16</v>
      </c>
      <c r="E13" t="s">
        <v>111</v>
      </c>
      <c r="G13" s="36" t="s">
        <v>141</v>
      </c>
      <c r="H13">
        <v>16</v>
      </c>
      <c r="I13" t="s">
        <v>111</v>
      </c>
      <c r="K13" s="36" t="s">
        <v>144</v>
      </c>
      <c r="L13">
        <v>16</v>
      </c>
      <c r="M13" t="s">
        <v>111</v>
      </c>
    </row>
    <row r="14" spans="3:30">
      <c r="C14" t="s">
        <v>137</v>
      </c>
      <c r="D14" s="37">
        <f>D13*SQRT(2)</f>
        <v>22.627416997969522</v>
      </c>
      <c r="E14" t="s">
        <v>111</v>
      </c>
      <c r="G14" s="36" t="s">
        <v>140</v>
      </c>
      <c r="H14">
        <f>AD6/1000</f>
        <v>5.5384615384615372E-3</v>
      </c>
      <c r="I14" t="s">
        <v>121</v>
      </c>
      <c r="K14" t="s">
        <v>145</v>
      </c>
      <c r="L14">
        <f>H14</f>
        <v>5.5384615384615372E-3</v>
      </c>
      <c r="M14" t="s">
        <v>121</v>
      </c>
    </row>
    <row r="16" spans="3:30">
      <c r="C16" t="s">
        <v>138</v>
      </c>
      <c r="D16">
        <f>D12/D14</f>
        <v>1.1048543456039804E-2</v>
      </c>
      <c r="E16" t="s">
        <v>121</v>
      </c>
      <c r="G16" t="s">
        <v>142</v>
      </c>
      <c r="H16" s="39">
        <f>H14*H13*SQRT(2)</f>
        <v>0.12532107875798501</v>
      </c>
      <c r="I16" t="s">
        <v>123</v>
      </c>
      <c r="K16" s="36" t="s">
        <v>146</v>
      </c>
      <c r="L16">
        <v>70</v>
      </c>
      <c r="M16" t="s">
        <v>147</v>
      </c>
    </row>
    <row r="17" spans="3:13">
      <c r="C17" t="s">
        <v>138</v>
      </c>
      <c r="D17" s="37">
        <f>D16*1000</f>
        <v>11.048543456039804</v>
      </c>
      <c r="E17" t="s">
        <v>114</v>
      </c>
      <c r="G17" t="s">
        <v>143</v>
      </c>
      <c r="H17">
        <f>H13*H13*H14</f>
        <v>1.4178461538461535</v>
      </c>
      <c r="I17" t="s">
        <v>116</v>
      </c>
      <c r="K17" s="36" t="s">
        <v>149</v>
      </c>
      <c r="L17">
        <v>50</v>
      </c>
    </row>
    <row r="18" spans="3:13">
      <c r="C18" t="s">
        <v>139</v>
      </c>
      <c r="D18" s="37">
        <f>D13*D13*D16</f>
        <v>2.8284271247461898</v>
      </c>
      <c r="E18" t="s">
        <v>116</v>
      </c>
      <c r="K18" t="s">
        <v>150</v>
      </c>
      <c r="L18">
        <f>L16*L17*L14/1000000</f>
        <v>1.9384615384615379E-5</v>
      </c>
      <c r="M18" t="s">
        <v>121</v>
      </c>
    </row>
    <row r="19" spans="3:13">
      <c r="K19" t="s">
        <v>148</v>
      </c>
      <c r="L19">
        <f>L18+L14</f>
        <v>5.5578461538461528E-3</v>
      </c>
      <c r="M19" t="s">
        <v>121</v>
      </c>
    </row>
    <row r="20" spans="3:13">
      <c r="C20" t="s">
        <v>154</v>
      </c>
      <c r="D20">
        <f>COUNTIF(W6:W31,"&gt;0")</f>
        <v>7</v>
      </c>
      <c r="K20" t="s">
        <v>151</v>
      </c>
      <c r="L20">
        <f>L19*L13</f>
        <v>8.8925538461538445E-2</v>
      </c>
      <c r="M20" t="s">
        <v>123</v>
      </c>
    </row>
    <row r="21" spans="3:13">
      <c r="C21" t="s">
        <v>155</v>
      </c>
      <c r="D21">
        <f>H17/D20</f>
        <v>0.2025494505494505</v>
      </c>
      <c r="E21" t="s">
        <v>116</v>
      </c>
      <c r="K21" t="s">
        <v>152</v>
      </c>
      <c r="L21">
        <f>L20/L14</f>
        <v>16.056000000000001</v>
      </c>
      <c r="M21" t="s">
        <v>111</v>
      </c>
    </row>
    <row r="22" spans="3:13">
      <c r="K22" t="s">
        <v>153</v>
      </c>
      <c r="L22">
        <f>L21-L13</f>
        <v>5.6000000000000938E-2</v>
      </c>
      <c r="M22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184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Main</vt:lpstr>
      <vt:lpstr>PF_I_V_isolated_measurment_</vt:lpstr>
      <vt:lpstr>USB_</vt:lpstr>
      <vt:lpstr>Ethernet</vt:lpstr>
      <vt:lpstr>I shunt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Rybka (martryb957)</cp:lastModifiedBy>
  <cp:revision>13</cp:revision>
  <dcterms:created xsi:type="dcterms:W3CDTF">2015-06-05T18:19:34Z</dcterms:created>
  <dcterms:modified xsi:type="dcterms:W3CDTF">2026-05-17T21:20:39Z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